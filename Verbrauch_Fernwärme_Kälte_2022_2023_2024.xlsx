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\Desktop\"/>
    </mc:Choice>
  </mc:AlternateContent>
  <xr:revisionPtr revIDLastSave="0" documentId="13_ncr:1_{D4C6B335-516C-42E1-BE0D-A0A9818E2C4C}" xr6:coauthVersionLast="47" xr6:coauthVersionMax="47" xr10:uidLastSave="{00000000-0000-0000-0000-000000000000}"/>
  <bookViews>
    <workbookView xWindow="-38520" yWindow="-5355" windowWidth="38640" windowHeight="21240" xr2:uid="{12768243-C93C-46E5-AD51-A3FB7625FE45}"/>
  </bookViews>
  <sheets>
    <sheet name="Base Data" sheetId="1" r:id="rId1"/>
    <sheet name="Auswertung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T2" i="1"/>
  <c r="S37" i="1"/>
  <c r="S2" i="1"/>
</calcChain>
</file>

<file path=xl/sharedStrings.xml><?xml version="1.0" encoding="utf-8"?>
<sst xmlns="http://schemas.openxmlformats.org/spreadsheetml/2006/main" count="62" uniqueCount="36">
  <si>
    <t>Monat</t>
  </si>
  <si>
    <t xml:space="preserve">Jahr </t>
  </si>
  <si>
    <t>Januar</t>
  </si>
  <si>
    <t>Februar</t>
  </si>
  <si>
    <t>März</t>
  </si>
  <si>
    <t>April</t>
  </si>
  <si>
    <t xml:space="preserve">Mai </t>
  </si>
  <si>
    <t>Juni</t>
  </si>
  <si>
    <t>Juli</t>
  </si>
  <si>
    <t>August</t>
  </si>
  <si>
    <t>September</t>
  </si>
  <si>
    <t>Oktober</t>
  </si>
  <si>
    <t>November</t>
  </si>
  <si>
    <t>Dezember</t>
  </si>
  <si>
    <t>Wärme 1.2</t>
  </si>
  <si>
    <t>Wärme 1.1</t>
  </si>
  <si>
    <t>Wärme 1.3</t>
  </si>
  <si>
    <t>Kälte 1.1</t>
  </si>
  <si>
    <t>Kälte 1.2</t>
  </si>
  <si>
    <t>Kälte 1.3</t>
  </si>
  <si>
    <t>Wärme 2.1</t>
  </si>
  <si>
    <t>Wärme 2.2</t>
  </si>
  <si>
    <t>Kälte 2.1</t>
  </si>
  <si>
    <t>Kälte 2.2</t>
  </si>
  <si>
    <t>Kälte 2.3</t>
  </si>
  <si>
    <t>Wärme 3.1</t>
  </si>
  <si>
    <t>Wärme 3.2</t>
  </si>
  <si>
    <t>Kälte 3.1</t>
  </si>
  <si>
    <t>Kälte 3.2</t>
  </si>
  <si>
    <t>Kälte 3.3</t>
  </si>
  <si>
    <t>Wärme 
gesamt</t>
  </si>
  <si>
    <t>Kälte 
gesamt</t>
  </si>
  <si>
    <t>Grand Total</t>
  </si>
  <si>
    <t>Sum of Wärme 
gesamt</t>
  </si>
  <si>
    <t>Column Labels</t>
  </si>
  <si>
    <t>Sum of Kälte 
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</si>
</sst>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1" fillId="0" borderId="1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1" fillId="0" borderId="1" xfId="0" applyFont="1" applyFill="1" applyBorder="1"/>
    <xf numFmtId="0" fontId="1" fillId="0" borderId="3" xfId="0" applyFont="1" applyFill="1" applyBorder="1"/>
    <xf numFmtId="0" fontId="1" fillId="0" borderId="7" xfId="0" applyFont="1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1" fillId="0" borderId="10" xfId="0" applyFont="1" applyFill="1" applyBorder="1" applyAlignment="1">
      <alignment wrapText="1"/>
    </xf>
    <xf numFmtId="0" fontId="0" fillId="0" borderId="11" xfId="0" applyBorder="1"/>
    <xf numFmtId="0" fontId="0" fillId="0" borderId="8" xfId="0" applyFill="1" applyBorder="1"/>
    <xf numFmtId="0" fontId="0" fillId="0" borderId="9" xfId="0" applyFill="1" applyBorder="1"/>
    <xf numFmtId="0" fontId="0" fillId="0" borderId="0" xfId="0" pivotButton="1"/>
    <xf numFmtId="0" fontId="0" fillId="0" borderId="0" xfId="0" applyNumberFormat="1"/>
    <xf numFmtId="0" fontId="2" fillId="2" borderId="2" xfId="0" applyFont="1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11" xfId="0" applyFill="1" applyBorder="1"/>
    <xf numFmtId="2" fontId="0" fillId="2" borderId="8" xfId="0" applyNumberFormat="1" applyFill="1" applyBorder="1"/>
    <xf numFmtId="1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llaender, Kai" refreshedDate="45714.376067013887" createdVersion="8" refreshedVersion="8" minRefreshableVersion="3" recordCount="36" xr:uid="{F6D5BB7F-3D66-4D44-A7BD-46CB03039007}">
  <cacheSource type="worksheet">
    <worksheetSource ref="A1:T37" sheet="Base Data"/>
  </cacheSource>
  <cacheFields count="20">
    <cacheField name="Monat" numFmtId="0">
      <sharedItems/>
    </cacheField>
    <cacheField name="Jahr 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Wärme 1.1" numFmtId="0">
      <sharedItems containsSemiMixedTypes="0" containsString="0" containsNumber="1" minValue="0" maxValue="417.8"/>
    </cacheField>
    <cacheField name="Wärme 1.2" numFmtId="0">
      <sharedItems containsSemiMixedTypes="0" containsString="0" containsNumber="1" minValue="0" maxValue="2500"/>
    </cacheField>
    <cacheField name="Wärme 1.3" numFmtId="0">
      <sharedItems containsSemiMixedTypes="0" containsString="0" containsNumber="1" minValue="0" maxValue="417.8"/>
    </cacheField>
    <cacheField name="Kälte 1.1" numFmtId="0">
      <sharedItems containsSemiMixedTypes="0" containsString="0" containsNumber="1" minValue="0" maxValue="243.3"/>
    </cacheField>
    <cacheField name="Kälte 1.2" numFmtId="0">
      <sharedItems containsSemiMixedTypes="0" containsString="0" containsNumber="1" minValue="0" maxValue="24.3"/>
    </cacheField>
    <cacheField name="Kälte 1.3" numFmtId="0">
      <sharedItems containsSemiMixedTypes="0" containsString="0" containsNumber="1" minValue="0" maxValue="1670"/>
    </cacheField>
    <cacheField name="Wärme 2.1" numFmtId="0">
      <sharedItems containsSemiMixedTypes="0" containsString="0" containsNumber="1" minValue="0" maxValue="1047.2"/>
    </cacheField>
    <cacheField name="Wärme 2.2" numFmtId="0">
      <sharedItems containsSemiMixedTypes="0" containsString="0" containsNumber="1" minValue="0" maxValue="3677.7"/>
    </cacheField>
    <cacheField name="Kälte 2.1" numFmtId="0">
      <sharedItems containsSemiMixedTypes="0" containsString="0" containsNumber="1" minValue="0" maxValue="377"/>
    </cacheField>
    <cacheField name="Kälte 2.2" numFmtId="0">
      <sharedItems containsSemiMixedTypes="0" containsString="0" containsNumber="1" minValue="0" maxValue="646.79999999999995"/>
    </cacheField>
    <cacheField name="Kälte 2.3" numFmtId="0">
      <sharedItems containsSemiMixedTypes="0" containsString="0" containsNumber="1" minValue="0" maxValue="817"/>
    </cacheField>
    <cacheField name="Wärme 3.1" numFmtId="0">
      <sharedItems containsSemiMixedTypes="0" containsString="0" containsNumber="1" minValue="0" maxValue="2072.4"/>
    </cacheField>
    <cacheField name="Wärme 3.2" numFmtId="0">
      <sharedItems containsSemiMixedTypes="0" containsString="0" containsNumber="1" minValue="0" maxValue="3324.1"/>
    </cacheField>
    <cacheField name="Kälte 3.1" numFmtId="0">
      <sharedItems containsSemiMixedTypes="0" containsString="0" containsNumber="1" minValue="0" maxValue="78.3"/>
    </cacheField>
    <cacheField name="Kälte 3.2" numFmtId="0">
      <sharedItems containsSemiMixedTypes="0" containsString="0" containsNumber="1" minValue="0" maxValue="921.4"/>
    </cacheField>
    <cacheField name="Kälte 3.3" numFmtId="0">
      <sharedItems containsSemiMixedTypes="0" containsString="0" containsNumber="1" minValue="0" maxValue="3.8"/>
    </cacheField>
    <cacheField name="Wärme _x000a_gesamt" numFmtId="0">
      <sharedItems containsSemiMixedTypes="0" containsString="0" containsNumber="1" minValue="0.79999999999999993" maxValue="11716.6"/>
    </cacheField>
    <cacheField name="Kälte _x000a_gesamt" numFmtId="0">
      <sharedItems containsSemiMixedTypes="0" containsString="0" containsNumber="1" minValue="0" maxValue="430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Januar"/>
    <x v="0"/>
    <n v="143.19999999999999"/>
    <n v="481.2"/>
    <n v="143.19999999999999"/>
    <n v="0"/>
    <n v="0"/>
    <n v="0"/>
    <n v="492"/>
    <n v="1817"/>
    <n v="0"/>
    <n v="0"/>
    <n v="0"/>
    <n v="0"/>
    <n v="0"/>
    <n v="0"/>
    <n v="0"/>
    <n v="0"/>
    <n v="3076.6"/>
    <n v="0"/>
  </r>
  <r>
    <s v="Februar"/>
    <x v="0"/>
    <n v="56.2"/>
    <n v="227.1"/>
    <n v="56.2"/>
    <n v="0"/>
    <n v="0"/>
    <n v="0"/>
    <n v="258"/>
    <n v="1134.3"/>
    <n v="0"/>
    <n v="0"/>
    <n v="0"/>
    <n v="0"/>
    <n v="0"/>
    <n v="0"/>
    <n v="0"/>
    <n v="0"/>
    <n v="1731.8"/>
    <n v="0"/>
  </r>
  <r>
    <s v="März"/>
    <x v="0"/>
    <n v="2"/>
    <n v="209.7"/>
    <n v="2"/>
    <n v="0"/>
    <n v="0"/>
    <n v="0"/>
    <n v="271.60000000000002"/>
    <n v="1280.4000000000001"/>
    <n v="0"/>
    <n v="0"/>
    <n v="0"/>
    <n v="0"/>
    <n v="0"/>
    <n v="0"/>
    <n v="0"/>
    <n v="0"/>
    <n v="1765.7"/>
    <n v="0"/>
  </r>
  <r>
    <s v="April"/>
    <x v="0"/>
    <n v="16.899999999999999"/>
    <n v="85"/>
    <n v="16.899999999999999"/>
    <n v="0"/>
    <n v="0"/>
    <n v="0"/>
    <n v="55.8"/>
    <n v="265.2"/>
    <n v="0"/>
    <n v="0"/>
    <n v="0"/>
    <n v="0"/>
    <n v="0"/>
    <n v="0"/>
    <n v="0"/>
    <n v="0"/>
    <n v="439.8"/>
    <n v="0"/>
  </r>
  <r>
    <s v="Mai "/>
    <x v="0"/>
    <n v="15.6"/>
    <n v="21"/>
    <n v="15.6"/>
    <n v="38.299999999999997"/>
    <n v="0.2"/>
    <n v="31.9"/>
    <n v="16.5"/>
    <n v="4.9000000000000004"/>
    <n v="3.9"/>
    <n v="173.9"/>
    <n v="237.2"/>
    <n v="0"/>
    <n v="0"/>
    <n v="2.7"/>
    <n v="0"/>
    <n v="0"/>
    <n v="73.600000000000009"/>
    <n v="488.09999999999997"/>
  </r>
  <r>
    <s v="Juni"/>
    <x v="0"/>
    <n v="24.8"/>
    <n v="36.4"/>
    <n v="24.8"/>
    <n v="18.7"/>
    <n v="0"/>
    <n v="93.9"/>
    <n v="21.6"/>
    <n v="9.5"/>
    <n v="1.5"/>
    <n v="406.4"/>
    <n v="564.70000000000005"/>
    <n v="0"/>
    <n v="0"/>
    <n v="0.3"/>
    <n v="0"/>
    <n v="0"/>
    <n v="117.1"/>
    <n v="1085.5"/>
  </r>
  <r>
    <s v="Juli"/>
    <x v="0"/>
    <n v="26.4"/>
    <n v="21.3"/>
    <n v="26.4"/>
    <n v="24.8"/>
    <n v="0.9"/>
    <n v="118.9"/>
    <n v="13.4"/>
    <n v="4.8"/>
    <n v="32.9"/>
    <n v="465.9"/>
    <n v="817"/>
    <n v="0"/>
    <n v="0"/>
    <n v="0.9"/>
    <n v="0"/>
    <n v="0"/>
    <n v="92.3"/>
    <n v="1461.3000000000002"/>
  </r>
  <r>
    <s v="August"/>
    <x v="0"/>
    <n v="15.7"/>
    <n v="7.6"/>
    <n v="15.7"/>
    <n v="15.6"/>
    <n v="1.4"/>
    <n v="85.4"/>
    <n v="7.7"/>
    <n v="2.6"/>
    <n v="10.8"/>
    <n v="304.60000000000002"/>
    <n v="625.29999999999995"/>
    <n v="0"/>
    <n v="0"/>
    <n v="4.5"/>
    <n v="0"/>
    <n v="0"/>
    <n v="49.300000000000004"/>
    <n v="1047.5999999999999"/>
  </r>
  <r>
    <s v="September"/>
    <x v="0"/>
    <n v="12.8"/>
    <n v="3.7"/>
    <n v="12.8"/>
    <n v="0"/>
    <n v="0.4"/>
    <n v="6.4"/>
    <n v="36.1"/>
    <n v="125.3"/>
    <n v="0.4"/>
    <n v="72.900000000000006"/>
    <n v="117.5"/>
    <n v="0"/>
    <n v="0"/>
    <n v="0.2"/>
    <n v="0"/>
    <n v="0"/>
    <n v="190.7"/>
    <n v="197.8"/>
  </r>
  <r>
    <s v="Oktober"/>
    <x v="0"/>
    <n v="0.6"/>
    <n v="2.5"/>
    <n v="0.6"/>
    <n v="0"/>
    <n v="0"/>
    <n v="0"/>
    <n v="26"/>
    <n v="407"/>
    <n v="0"/>
    <n v="0"/>
    <n v="1.2"/>
    <n v="0"/>
    <n v="0"/>
    <n v="0"/>
    <n v="0"/>
    <n v="0"/>
    <n v="436.7"/>
    <n v="1.2"/>
  </r>
  <r>
    <s v="November"/>
    <x v="0"/>
    <n v="26.9"/>
    <n v="109.4"/>
    <n v="26.9"/>
    <n v="0"/>
    <n v="0"/>
    <n v="0"/>
    <n v="305.60000000000002"/>
    <n v="863"/>
    <n v="0"/>
    <n v="0"/>
    <n v="0"/>
    <n v="0"/>
    <n v="0"/>
    <n v="0"/>
    <n v="0"/>
    <n v="0"/>
    <n v="1331.8000000000002"/>
    <n v="0"/>
  </r>
  <r>
    <s v="Dezember"/>
    <x v="0"/>
    <n v="73.5"/>
    <n v="281.5"/>
    <n v="73.5"/>
    <n v="0"/>
    <n v="0"/>
    <n v="0"/>
    <n v="1020.2"/>
    <n v="1363"/>
    <n v="0"/>
    <n v="0"/>
    <n v="0"/>
    <n v="0"/>
    <n v="0"/>
    <n v="0"/>
    <n v="0"/>
    <n v="0"/>
    <n v="2811.7"/>
    <n v="0"/>
  </r>
  <r>
    <s v="Januar"/>
    <x v="1"/>
    <n v="60.4"/>
    <n v="326"/>
    <n v="60.4"/>
    <n v="1.6"/>
    <n v="0"/>
    <n v="0"/>
    <n v="1047.2"/>
    <n v="1102.8"/>
    <n v="4.0999999999999996"/>
    <n v="0"/>
    <n v="1.8"/>
    <n v="0"/>
    <n v="0"/>
    <n v="2.1"/>
    <n v="0"/>
    <n v="0"/>
    <n v="2596.8000000000002"/>
    <n v="9.6"/>
  </r>
  <r>
    <s v="Februar"/>
    <x v="1"/>
    <n v="251.8"/>
    <n v="78.599999999999994"/>
    <n v="251.8"/>
    <n v="0"/>
    <n v="0"/>
    <n v="0"/>
    <n v="729.9"/>
    <n v="830.9"/>
    <n v="0"/>
    <n v="0"/>
    <n v="0"/>
    <n v="0"/>
    <n v="0"/>
    <n v="0"/>
    <n v="0"/>
    <n v="0"/>
    <n v="2143"/>
    <n v="0"/>
  </r>
  <r>
    <s v="März"/>
    <x v="1"/>
    <n v="0.6"/>
    <n v="67"/>
    <n v="0.6"/>
    <n v="0"/>
    <n v="0"/>
    <n v="0"/>
    <n v="556.29999999999995"/>
    <n v="695.1"/>
    <n v="0"/>
    <n v="0"/>
    <n v="0"/>
    <n v="0"/>
    <n v="0"/>
    <n v="0"/>
    <n v="0"/>
    <n v="0"/>
    <n v="1319.6"/>
    <n v="0"/>
  </r>
  <r>
    <s v="April"/>
    <x v="1"/>
    <n v="0"/>
    <n v="7.2"/>
    <n v="0"/>
    <n v="0"/>
    <n v="0"/>
    <n v="0"/>
    <n v="39.799999999999997"/>
    <n v="596.79999999999995"/>
    <n v="0"/>
    <n v="0"/>
    <n v="0"/>
    <n v="0"/>
    <n v="0"/>
    <n v="0"/>
    <n v="0"/>
    <n v="0"/>
    <n v="643.79999999999995"/>
    <n v="0"/>
  </r>
  <r>
    <s v="Mai "/>
    <x v="1"/>
    <n v="0"/>
    <n v="0.1"/>
    <n v="0"/>
    <n v="0"/>
    <n v="0.7"/>
    <n v="2"/>
    <n v="2.9"/>
    <n v="146.1"/>
    <n v="0.1"/>
    <n v="1.1000000000000001"/>
    <n v="1.3"/>
    <n v="0"/>
    <n v="0"/>
    <n v="0"/>
    <n v="0"/>
    <n v="0"/>
    <n v="149.1"/>
    <n v="5.2"/>
  </r>
  <r>
    <s v="Juni"/>
    <x v="1"/>
    <n v="5.0999999999999996"/>
    <n v="4.7"/>
    <n v="5.0999999999999996"/>
    <n v="72.3"/>
    <n v="14.9"/>
    <n v="107"/>
    <n v="4.5"/>
    <n v="3.6"/>
    <n v="372.4"/>
    <n v="458.5"/>
    <n v="586.79999999999995"/>
    <n v="0"/>
    <n v="0"/>
    <n v="1.1000000000000001"/>
    <n v="210.6"/>
    <n v="0"/>
    <n v="23"/>
    <n v="1823.5999999999997"/>
  </r>
  <r>
    <s v="Juli"/>
    <x v="1"/>
    <n v="2.1"/>
    <n v="2.2000000000000002"/>
    <n v="2.1"/>
    <n v="19.899999999999999"/>
    <n v="2.5"/>
    <n v="43.3"/>
    <n v="0.1"/>
    <n v="0.1"/>
    <n v="200.8"/>
    <n v="217.4"/>
    <n v="329.7"/>
    <n v="0"/>
    <n v="0"/>
    <n v="0.8"/>
    <n v="149.19999999999999"/>
    <n v="0"/>
    <n v="6.6"/>
    <n v="963.59999999999991"/>
  </r>
  <r>
    <s v="August"/>
    <x v="1"/>
    <n v="0.4"/>
    <n v="0"/>
    <n v="0.4"/>
    <n v="0"/>
    <n v="0"/>
    <n v="38.299999999999997"/>
    <n v="0"/>
    <n v="0"/>
    <n v="24.7"/>
    <n v="199.4"/>
    <n v="147.5"/>
    <n v="0"/>
    <n v="0"/>
    <n v="0.5"/>
    <n v="85.1"/>
    <n v="0"/>
    <n v="0.8"/>
    <n v="495.5"/>
  </r>
  <r>
    <s v="September"/>
    <x v="1"/>
    <n v="0"/>
    <n v="0.1"/>
    <n v="0"/>
    <n v="0"/>
    <n v="8.5"/>
    <n v="303.8"/>
    <n v="0.4"/>
    <n v="0.2"/>
    <n v="1.9"/>
    <n v="187.8"/>
    <n v="300.3"/>
    <n v="0.1"/>
    <n v="0"/>
    <n v="15.4"/>
    <n v="97.2"/>
    <n v="0"/>
    <n v="0.79999999999999993"/>
    <n v="914.9"/>
  </r>
  <r>
    <s v="Oktober"/>
    <x v="1"/>
    <n v="45.8"/>
    <n v="1112.8"/>
    <n v="45.8"/>
    <n v="0"/>
    <n v="0.8"/>
    <n v="37.5"/>
    <n v="986.6"/>
    <n v="1866.4"/>
    <n v="0.2"/>
    <n v="1"/>
    <n v="0.2"/>
    <n v="181.6"/>
    <n v="323.89999999999998"/>
    <n v="0"/>
    <n v="0.4"/>
    <n v="0"/>
    <n v="4562.8999999999996"/>
    <n v="40.1"/>
  </r>
  <r>
    <s v="November"/>
    <x v="1"/>
    <n v="252.6"/>
    <n v="825.7"/>
    <n v="252.6"/>
    <n v="0"/>
    <n v="0"/>
    <n v="0"/>
    <n v="830"/>
    <n v="2469.8000000000002"/>
    <n v="0"/>
    <n v="0"/>
    <n v="0.1"/>
    <n v="1205.9000000000001"/>
    <n v="1701"/>
    <n v="0"/>
    <n v="0.1"/>
    <n v="0.4"/>
    <n v="7537.6"/>
    <n v="0.60000000000000009"/>
  </r>
  <r>
    <s v="Dezember"/>
    <x v="1"/>
    <n v="394.6"/>
    <n v="1103.7"/>
    <n v="394.6"/>
    <n v="0"/>
    <n v="0"/>
    <n v="0.1"/>
    <n v="892"/>
    <n v="2995.9"/>
    <n v="0"/>
    <n v="0"/>
    <n v="0"/>
    <n v="1408.5"/>
    <n v="2905"/>
    <n v="0"/>
    <n v="0.2"/>
    <n v="0.5"/>
    <n v="10094.299999999999"/>
    <n v="0.8"/>
  </r>
  <r>
    <s v="Januar"/>
    <x v="2"/>
    <n v="417.8"/>
    <n v="1746.3"/>
    <n v="417.8"/>
    <n v="0"/>
    <n v="0"/>
    <n v="0"/>
    <n v="833"/>
    <n v="3677.7"/>
    <n v="0"/>
    <n v="0"/>
    <n v="0"/>
    <n v="1299.9000000000001"/>
    <n v="3324.1"/>
    <n v="0"/>
    <n v="0"/>
    <n v="0"/>
    <n v="11716.6"/>
    <n v="0"/>
  </r>
  <r>
    <s v="Februar"/>
    <x v="2"/>
    <n v="290.8"/>
    <n v="1155.9000000000001"/>
    <n v="290.8"/>
    <n v="0"/>
    <n v="0"/>
    <n v="0"/>
    <n v="599"/>
    <n v="2236"/>
    <n v="0"/>
    <n v="0.1"/>
    <n v="0.1"/>
    <n v="924.3"/>
    <n v="1776.1"/>
    <n v="0"/>
    <n v="0"/>
    <n v="0.3"/>
    <n v="7272.9"/>
    <n v="0.5"/>
  </r>
  <r>
    <s v="März"/>
    <x v="2"/>
    <n v="152"/>
    <n v="594.1"/>
    <n v="152"/>
    <n v="0"/>
    <n v="0"/>
    <n v="0.3"/>
    <n v="403.4"/>
    <n v="1272.2"/>
    <n v="0"/>
    <n v="0"/>
    <n v="0.2"/>
    <n v="590.20000000000005"/>
    <n v="974.1"/>
    <n v="0"/>
    <n v="0.4"/>
    <n v="0.3"/>
    <n v="4138"/>
    <n v="1.2"/>
  </r>
  <r>
    <s v="April"/>
    <x v="2"/>
    <n v="95.3"/>
    <n v="308.60000000000002"/>
    <n v="95.3"/>
    <n v="0"/>
    <n v="0.1"/>
    <n v="2"/>
    <n v="375"/>
    <n v="1065.2"/>
    <n v="0"/>
    <n v="0.2"/>
    <n v="0.9"/>
    <n v="521.1"/>
    <n v="716.9"/>
    <n v="0"/>
    <n v="2.2000000000000002"/>
    <n v="3.8"/>
    <n v="3177.4"/>
    <n v="9.1999999999999993"/>
  </r>
  <r>
    <s v="Mai "/>
    <x v="2"/>
    <n v="9.1999999999999993"/>
    <n v="19"/>
    <n v="9.1999999999999993"/>
    <n v="0"/>
    <n v="0"/>
    <n v="3.9"/>
    <n v="66.099999999999994"/>
    <n v="151.5"/>
    <n v="0"/>
    <n v="1"/>
    <n v="1.7"/>
    <n v="56.9"/>
    <n v="29.5"/>
    <n v="0"/>
    <n v="1.5"/>
    <n v="0.9"/>
    <n v="341.4"/>
    <n v="9.0000000000000018"/>
  </r>
  <r>
    <s v="Juni"/>
    <x v="2"/>
    <n v="15.8"/>
    <n v="37.9"/>
    <n v="15.8"/>
    <n v="43.1"/>
    <n v="8.6"/>
    <n v="205.9"/>
    <n v="92.1"/>
    <n v="191.2"/>
    <n v="67.7"/>
    <n v="297.2"/>
    <n v="266.39999999999998"/>
    <n v="90.9"/>
    <n v="0"/>
    <n v="46.3"/>
    <n v="54.3"/>
    <n v="0"/>
    <n v="443.69999999999993"/>
    <n v="989.49999999999989"/>
  </r>
  <r>
    <s v="Juli"/>
    <x v="2"/>
    <n v="1.9"/>
    <n v="5.5"/>
    <n v="1.9"/>
    <n v="78.7"/>
    <n v="14.7"/>
    <n v="766.5"/>
    <n v="11.4"/>
    <n v="35.5"/>
    <n v="4.4000000000000004"/>
    <n v="646.79999999999995"/>
    <n v="531.20000000000005"/>
    <n v="31.9"/>
    <n v="0"/>
    <n v="39.700000000000003"/>
    <n v="416.9"/>
    <n v="0"/>
    <n v="88.1"/>
    <n v="2498.9"/>
  </r>
  <r>
    <s v="August"/>
    <x v="2"/>
    <n v="83.2"/>
    <n v="122.2"/>
    <n v="83.2"/>
    <n v="243.3"/>
    <n v="24.3"/>
    <n v="1670"/>
    <n v="2"/>
    <n v="269"/>
    <n v="377"/>
    <n v="187.3"/>
    <n v="800.2"/>
    <n v="238.5"/>
    <n v="0"/>
    <n v="78.3"/>
    <n v="921.4"/>
    <n v="0"/>
    <n v="798.1"/>
    <n v="4301.8"/>
  </r>
  <r>
    <s v="September"/>
    <x v="2"/>
    <n v="39.6"/>
    <n v="171.7"/>
    <n v="39.6"/>
    <n v="0"/>
    <n v="3.6"/>
    <n v="282"/>
    <n v="33.299999999999997"/>
    <n v="343"/>
    <n v="0.7"/>
    <n v="0.1"/>
    <n v="182.7"/>
    <n v="419"/>
    <n v="0"/>
    <n v="1.6"/>
    <n v="169.8"/>
    <n v="0"/>
    <n v="1046.2"/>
    <n v="640.5"/>
  </r>
  <r>
    <s v="Oktober"/>
    <x v="2"/>
    <n v="0"/>
    <n v="237"/>
    <n v="0"/>
    <n v="0"/>
    <n v="0"/>
    <n v="0"/>
    <n v="227.2"/>
    <n v="705.3"/>
    <n v="0"/>
    <n v="0"/>
    <n v="0"/>
    <n v="558.70000000000005"/>
    <n v="0"/>
    <n v="0"/>
    <n v="0.1"/>
    <n v="0"/>
    <n v="1728.2"/>
    <n v="0.1"/>
  </r>
  <r>
    <s v="November"/>
    <x v="2"/>
    <n v="22.1"/>
    <n v="1409"/>
    <n v="22.1"/>
    <n v="0"/>
    <n v="0"/>
    <n v="0"/>
    <n v="481.2"/>
    <n v="2407.6"/>
    <n v="0"/>
    <n v="0"/>
    <n v="0.1"/>
    <n v="138.69999999999999"/>
    <n v="0"/>
    <n v="0"/>
    <n v="0.1"/>
    <n v="0"/>
    <n v="4480.7"/>
    <n v="0.2"/>
  </r>
  <r>
    <s v="Dezember"/>
    <x v="2"/>
    <n v="118.6"/>
    <n v="2500"/>
    <n v="118.6"/>
    <n v="0"/>
    <n v="0"/>
    <n v="0"/>
    <n v="837.7"/>
    <n v="3446.5"/>
    <n v="0"/>
    <n v="0"/>
    <n v="0"/>
    <n v="2072.4"/>
    <n v="0"/>
    <n v="0"/>
    <n v="0"/>
    <n v="0"/>
    <n v="9093.799999999999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34B7A-7C8F-4A68-98AE-314BDFA8378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E10" firstHeaderRow="1" firstDataRow="2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Kälte _x000a_gesam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D0C38-ED07-4C4B-9EDA-E0E607F584A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3" firstHeaderRow="1" firstDataRow="2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Wärme _x000a_gesam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B89D-C1D4-4F15-9BA0-104FA77E4967}">
  <dimension ref="A1:T37"/>
  <sheetViews>
    <sheetView tabSelected="1" workbookViewId="0">
      <selection activeCell="A26" sqref="A26:XFD26"/>
    </sheetView>
  </sheetViews>
  <sheetFormatPr defaultRowHeight="14.5" x14ac:dyDescent="0.35"/>
  <cols>
    <col min="1" max="1" width="9.453125" customWidth="1"/>
    <col min="3" max="3" width="10.81640625" style="18" customWidth="1"/>
    <col min="4" max="4" width="11.7265625" style="18" customWidth="1"/>
    <col min="5" max="5" width="10.81640625" style="18" customWidth="1"/>
    <col min="6" max="8" width="8.7265625" style="18" hidden="1" customWidth="1"/>
    <col min="9" max="9" width="10.36328125" style="18" customWidth="1"/>
    <col min="10" max="10" width="10.26953125" style="18" customWidth="1"/>
    <col min="11" max="11" width="11.08984375" style="18" hidden="1" customWidth="1"/>
    <col min="12" max="13" width="8.7265625" style="18" hidden="1" customWidth="1"/>
    <col min="14" max="15" width="9.90625" bestFit="1" customWidth="1"/>
    <col min="17" max="18" width="0" hidden="1" customWidth="1"/>
  </cols>
  <sheetData>
    <row r="1" spans="1:20" ht="57" customHeight="1" x14ac:dyDescent="0.35">
      <c r="A1" s="5" t="s">
        <v>0</v>
      </c>
      <c r="B1" s="6" t="s">
        <v>1</v>
      </c>
      <c r="C1" s="11" t="s">
        <v>15</v>
      </c>
      <c r="D1" s="12" t="s">
        <v>14</v>
      </c>
      <c r="E1" s="13" t="s">
        <v>16</v>
      </c>
      <c r="F1" s="11" t="s">
        <v>17</v>
      </c>
      <c r="G1" s="12" t="s">
        <v>18</v>
      </c>
      <c r="H1" s="13" t="s">
        <v>19</v>
      </c>
      <c r="I1" s="11" t="s">
        <v>20</v>
      </c>
      <c r="J1" s="13" t="s">
        <v>21</v>
      </c>
      <c r="K1" s="11" t="s">
        <v>22</v>
      </c>
      <c r="L1" s="12" t="s">
        <v>23</v>
      </c>
      <c r="M1" s="13" t="s">
        <v>24</v>
      </c>
      <c r="N1" s="11" t="s">
        <v>25</v>
      </c>
      <c r="O1" s="13" t="s">
        <v>26</v>
      </c>
      <c r="P1" s="11" t="s">
        <v>27</v>
      </c>
      <c r="Q1" s="12" t="s">
        <v>28</v>
      </c>
      <c r="R1" s="13" t="s">
        <v>29</v>
      </c>
      <c r="S1" s="19" t="s">
        <v>30</v>
      </c>
      <c r="T1" s="19" t="s">
        <v>31</v>
      </c>
    </row>
    <row r="2" spans="1:20" x14ac:dyDescent="0.35">
      <c r="A2" s="1" t="s">
        <v>2</v>
      </c>
      <c r="B2" s="7">
        <v>2022</v>
      </c>
      <c r="C2" s="14">
        <v>143.19999999999999</v>
      </c>
      <c r="D2" s="15">
        <v>481.2</v>
      </c>
      <c r="E2" s="21">
        <v>143.19999999999999</v>
      </c>
      <c r="F2" s="14">
        <v>0</v>
      </c>
      <c r="G2" s="15">
        <v>0</v>
      </c>
      <c r="H2" s="21">
        <v>0</v>
      </c>
      <c r="I2" s="14">
        <v>492</v>
      </c>
      <c r="J2" s="21">
        <v>1817</v>
      </c>
      <c r="K2" s="14">
        <v>0</v>
      </c>
      <c r="L2" s="15">
        <v>0</v>
      </c>
      <c r="M2" s="21">
        <v>0</v>
      </c>
      <c r="N2" s="14">
        <v>0</v>
      </c>
      <c r="O2" s="21">
        <v>0</v>
      </c>
      <c r="P2" s="9">
        <v>0</v>
      </c>
      <c r="Q2" s="2">
        <v>0</v>
      </c>
      <c r="R2" s="7">
        <v>0</v>
      </c>
      <c r="S2" s="31">
        <f>C2+D2+E2+I2+J2+N2+O2</f>
        <v>3076.6</v>
      </c>
      <c r="T2" s="20">
        <f>F2+G2+H2+K2+L2+M2+P2+Q2+R2</f>
        <v>0</v>
      </c>
    </row>
    <row r="3" spans="1:20" x14ac:dyDescent="0.35">
      <c r="A3" s="1" t="s">
        <v>3</v>
      </c>
      <c r="B3" s="7">
        <v>2022</v>
      </c>
      <c r="C3" s="14">
        <v>56.2</v>
      </c>
      <c r="D3" s="15">
        <v>227.1</v>
      </c>
      <c r="E3" s="21">
        <v>56.2</v>
      </c>
      <c r="F3" s="14">
        <v>0</v>
      </c>
      <c r="G3" s="15">
        <v>0</v>
      </c>
      <c r="H3" s="21">
        <v>0</v>
      </c>
      <c r="I3" s="14">
        <v>258</v>
      </c>
      <c r="J3" s="21">
        <v>1134.3</v>
      </c>
      <c r="K3" s="14">
        <v>0</v>
      </c>
      <c r="L3" s="15">
        <v>0</v>
      </c>
      <c r="M3" s="21">
        <v>0</v>
      </c>
      <c r="N3" s="14">
        <v>0</v>
      </c>
      <c r="O3" s="21">
        <v>0</v>
      </c>
      <c r="P3" s="9">
        <v>0</v>
      </c>
      <c r="Q3" s="2">
        <v>0</v>
      </c>
      <c r="R3" s="7">
        <v>0</v>
      </c>
      <c r="S3" s="31">
        <f t="shared" ref="S3:S36" si="0">C3+D3+E3+I3+J3+N3+O3</f>
        <v>1731.8</v>
      </c>
      <c r="T3" s="20">
        <f t="shared" ref="T3:T36" si="1">F3+G3+H3+K3+L3+M3+P3+Q3+R3</f>
        <v>0</v>
      </c>
    </row>
    <row r="4" spans="1:20" x14ac:dyDescent="0.35">
      <c r="A4" s="1" t="s">
        <v>4</v>
      </c>
      <c r="B4" s="7">
        <v>2022</v>
      </c>
      <c r="C4" s="14">
        <v>2</v>
      </c>
      <c r="D4" s="15">
        <v>209.7</v>
      </c>
      <c r="E4" s="21">
        <v>2</v>
      </c>
      <c r="F4" s="14">
        <v>0</v>
      </c>
      <c r="G4" s="15">
        <v>0</v>
      </c>
      <c r="H4" s="21">
        <v>0</v>
      </c>
      <c r="I4" s="14">
        <v>271.60000000000002</v>
      </c>
      <c r="J4" s="21">
        <v>1280.4000000000001</v>
      </c>
      <c r="K4" s="14">
        <v>0</v>
      </c>
      <c r="L4" s="15">
        <v>0</v>
      </c>
      <c r="M4" s="21">
        <v>0</v>
      </c>
      <c r="N4" s="14">
        <v>0</v>
      </c>
      <c r="O4" s="21">
        <v>0</v>
      </c>
      <c r="P4" s="9">
        <v>0</v>
      </c>
      <c r="Q4" s="2">
        <v>0</v>
      </c>
      <c r="R4" s="7">
        <v>0</v>
      </c>
      <c r="S4" s="31">
        <f t="shared" si="0"/>
        <v>1765.7</v>
      </c>
      <c r="T4" s="20">
        <f t="shared" si="1"/>
        <v>0</v>
      </c>
    </row>
    <row r="5" spans="1:20" x14ac:dyDescent="0.35">
      <c r="A5" s="1" t="s">
        <v>5</v>
      </c>
      <c r="B5" s="7">
        <v>2022</v>
      </c>
      <c r="C5" s="14">
        <v>16.899999999999999</v>
      </c>
      <c r="D5" s="15">
        <v>85</v>
      </c>
      <c r="E5" s="21">
        <v>16.899999999999999</v>
      </c>
      <c r="F5" s="14">
        <v>0</v>
      </c>
      <c r="G5" s="15">
        <v>0</v>
      </c>
      <c r="H5" s="21">
        <v>0</v>
      </c>
      <c r="I5" s="14">
        <v>55.8</v>
      </c>
      <c r="J5" s="21">
        <v>265.2</v>
      </c>
      <c r="K5" s="14">
        <v>0</v>
      </c>
      <c r="L5" s="15">
        <v>0</v>
      </c>
      <c r="M5" s="21">
        <v>0</v>
      </c>
      <c r="N5" s="9">
        <v>0</v>
      </c>
      <c r="O5" s="7">
        <v>0</v>
      </c>
      <c r="P5" s="9">
        <v>0</v>
      </c>
      <c r="Q5" s="15">
        <v>0</v>
      </c>
      <c r="R5" s="21">
        <v>0</v>
      </c>
      <c r="S5" s="31">
        <f t="shared" si="0"/>
        <v>439.8</v>
      </c>
      <c r="T5" s="20">
        <f t="shared" si="1"/>
        <v>0</v>
      </c>
    </row>
    <row r="6" spans="1:20" x14ac:dyDescent="0.35">
      <c r="A6" s="1" t="s">
        <v>6</v>
      </c>
      <c r="B6" s="7">
        <v>2022</v>
      </c>
      <c r="C6" s="14">
        <v>15.6</v>
      </c>
      <c r="D6" s="15">
        <v>21</v>
      </c>
      <c r="E6" s="21">
        <v>15.6</v>
      </c>
      <c r="F6" s="14">
        <v>38.299999999999997</v>
      </c>
      <c r="G6" s="15">
        <v>0.2</v>
      </c>
      <c r="H6" s="21">
        <v>31.9</v>
      </c>
      <c r="I6" s="14">
        <v>16.5</v>
      </c>
      <c r="J6" s="21">
        <v>4.9000000000000004</v>
      </c>
      <c r="K6" s="14">
        <v>3.9</v>
      </c>
      <c r="L6" s="15">
        <v>173.9</v>
      </c>
      <c r="M6" s="21">
        <v>237.2</v>
      </c>
      <c r="N6" s="9">
        <v>0</v>
      </c>
      <c r="O6" s="7">
        <v>0</v>
      </c>
      <c r="P6" s="9">
        <v>2.7</v>
      </c>
      <c r="Q6" s="15">
        <v>0</v>
      </c>
      <c r="R6" s="21">
        <v>0</v>
      </c>
      <c r="S6" s="31">
        <f t="shared" si="0"/>
        <v>73.600000000000009</v>
      </c>
      <c r="T6" s="20">
        <f t="shared" si="1"/>
        <v>488.09999999999997</v>
      </c>
    </row>
    <row r="7" spans="1:20" x14ac:dyDescent="0.35">
      <c r="A7" s="1" t="s">
        <v>7</v>
      </c>
      <c r="B7" s="7">
        <v>2022</v>
      </c>
      <c r="C7" s="14">
        <v>24.8</v>
      </c>
      <c r="D7" s="15">
        <v>36.4</v>
      </c>
      <c r="E7" s="21">
        <v>24.8</v>
      </c>
      <c r="F7" s="14">
        <v>18.7</v>
      </c>
      <c r="G7" s="15">
        <v>0</v>
      </c>
      <c r="H7" s="21">
        <v>93.9</v>
      </c>
      <c r="I7" s="14">
        <v>21.6</v>
      </c>
      <c r="J7" s="21">
        <v>9.5</v>
      </c>
      <c r="K7" s="14">
        <v>1.5</v>
      </c>
      <c r="L7" s="15">
        <v>406.4</v>
      </c>
      <c r="M7" s="21">
        <v>564.70000000000005</v>
      </c>
      <c r="N7" s="9">
        <v>0</v>
      </c>
      <c r="O7" s="7">
        <v>0</v>
      </c>
      <c r="P7" s="9">
        <v>0.3</v>
      </c>
      <c r="Q7" s="15">
        <v>0</v>
      </c>
      <c r="R7" s="21">
        <v>0</v>
      </c>
      <c r="S7" s="31">
        <f t="shared" si="0"/>
        <v>117.1</v>
      </c>
      <c r="T7" s="20">
        <f t="shared" si="1"/>
        <v>1085.5</v>
      </c>
    </row>
    <row r="8" spans="1:20" x14ac:dyDescent="0.35">
      <c r="A8" s="1" t="s">
        <v>8</v>
      </c>
      <c r="B8" s="7">
        <v>2022</v>
      </c>
      <c r="C8" s="14">
        <v>26.4</v>
      </c>
      <c r="D8" s="15">
        <v>21.3</v>
      </c>
      <c r="E8" s="21">
        <v>26.4</v>
      </c>
      <c r="F8" s="14">
        <v>24.8</v>
      </c>
      <c r="G8" s="15">
        <v>0.9</v>
      </c>
      <c r="H8" s="21">
        <v>118.9</v>
      </c>
      <c r="I8" s="14">
        <v>13.4</v>
      </c>
      <c r="J8" s="21">
        <v>4.8</v>
      </c>
      <c r="K8" s="14">
        <v>32.9</v>
      </c>
      <c r="L8" s="15">
        <v>465.9</v>
      </c>
      <c r="M8" s="21">
        <v>817</v>
      </c>
      <c r="N8" s="9">
        <v>0</v>
      </c>
      <c r="O8" s="7">
        <v>0</v>
      </c>
      <c r="P8" s="9">
        <v>0.9</v>
      </c>
      <c r="Q8" s="15">
        <v>0</v>
      </c>
      <c r="R8" s="21">
        <v>0</v>
      </c>
      <c r="S8" s="31">
        <f t="shared" si="0"/>
        <v>92.3</v>
      </c>
      <c r="T8" s="20">
        <f t="shared" si="1"/>
        <v>1461.3000000000002</v>
      </c>
    </row>
    <row r="9" spans="1:20" x14ac:dyDescent="0.35">
      <c r="A9" s="1" t="s">
        <v>9</v>
      </c>
      <c r="B9" s="7">
        <v>2022</v>
      </c>
      <c r="C9" s="14">
        <v>15.7</v>
      </c>
      <c r="D9" s="15">
        <v>7.6</v>
      </c>
      <c r="E9" s="21">
        <v>15.7</v>
      </c>
      <c r="F9" s="14">
        <v>15.6</v>
      </c>
      <c r="G9" s="15">
        <v>1.4</v>
      </c>
      <c r="H9" s="21">
        <v>85.4</v>
      </c>
      <c r="I9" s="14">
        <v>7.7</v>
      </c>
      <c r="J9" s="21">
        <v>2.6</v>
      </c>
      <c r="K9" s="14">
        <v>10.8</v>
      </c>
      <c r="L9" s="15">
        <v>304.60000000000002</v>
      </c>
      <c r="M9" s="21">
        <v>625.29999999999995</v>
      </c>
      <c r="N9" s="9">
        <v>0</v>
      </c>
      <c r="O9" s="7">
        <v>0</v>
      </c>
      <c r="P9" s="9">
        <v>4.5</v>
      </c>
      <c r="Q9" s="15">
        <v>0</v>
      </c>
      <c r="R9" s="21">
        <v>0</v>
      </c>
      <c r="S9" s="31">
        <f t="shared" si="0"/>
        <v>49.300000000000004</v>
      </c>
      <c r="T9" s="20">
        <f t="shared" si="1"/>
        <v>1047.5999999999999</v>
      </c>
    </row>
    <row r="10" spans="1:20" x14ac:dyDescent="0.35">
      <c r="A10" s="1" t="s">
        <v>10</v>
      </c>
      <c r="B10" s="7">
        <v>2022</v>
      </c>
      <c r="C10" s="14">
        <v>12.8</v>
      </c>
      <c r="D10" s="15">
        <v>3.7</v>
      </c>
      <c r="E10" s="21">
        <v>12.8</v>
      </c>
      <c r="F10" s="14">
        <v>0</v>
      </c>
      <c r="G10" s="15">
        <v>0.4</v>
      </c>
      <c r="H10" s="21">
        <v>6.4</v>
      </c>
      <c r="I10" s="14">
        <v>36.1</v>
      </c>
      <c r="J10" s="21">
        <v>125.3</v>
      </c>
      <c r="K10" s="14">
        <v>0.4</v>
      </c>
      <c r="L10" s="15">
        <v>72.900000000000006</v>
      </c>
      <c r="M10" s="21">
        <v>117.5</v>
      </c>
      <c r="N10" s="14">
        <v>0</v>
      </c>
      <c r="O10" s="7">
        <v>0</v>
      </c>
      <c r="P10" s="9">
        <v>0.2</v>
      </c>
      <c r="Q10" s="2">
        <v>0</v>
      </c>
      <c r="R10" s="7">
        <v>0</v>
      </c>
      <c r="S10" s="31">
        <f t="shared" si="0"/>
        <v>190.7</v>
      </c>
      <c r="T10" s="20">
        <f t="shared" si="1"/>
        <v>197.8</v>
      </c>
    </row>
    <row r="11" spans="1:20" x14ac:dyDescent="0.35">
      <c r="A11" s="1" t="s">
        <v>11</v>
      </c>
      <c r="B11" s="7">
        <v>2022</v>
      </c>
      <c r="C11" s="14">
        <v>0.6</v>
      </c>
      <c r="D11" s="15">
        <v>2.5</v>
      </c>
      <c r="E11" s="21">
        <v>0.6</v>
      </c>
      <c r="F11" s="14">
        <v>0</v>
      </c>
      <c r="G11" s="15">
        <v>0</v>
      </c>
      <c r="H11" s="21">
        <v>0</v>
      </c>
      <c r="I11" s="14">
        <v>26</v>
      </c>
      <c r="J11" s="21">
        <v>407</v>
      </c>
      <c r="K11" s="14">
        <v>0</v>
      </c>
      <c r="L11" s="15">
        <v>0</v>
      </c>
      <c r="M11" s="21">
        <v>1.2</v>
      </c>
      <c r="N11" s="14">
        <v>0</v>
      </c>
      <c r="O11" s="7">
        <v>0</v>
      </c>
      <c r="P11" s="9">
        <v>0</v>
      </c>
      <c r="Q11" s="2">
        <v>0</v>
      </c>
      <c r="R11" s="7">
        <v>0</v>
      </c>
      <c r="S11" s="31">
        <f t="shared" si="0"/>
        <v>436.7</v>
      </c>
      <c r="T11" s="20">
        <f t="shared" si="1"/>
        <v>1.2</v>
      </c>
    </row>
    <row r="12" spans="1:20" x14ac:dyDescent="0.35">
      <c r="A12" s="1" t="s">
        <v>12</v>
      </c>
      <c r="B12" s="7">
        <v>2022</v>
      </c>
      <c r="C12" s="14">
        <v>26.9</v>
      </c>
      <c r="D12" s="15">
        <v>109.4</v>
      </c>
      <c r="E12" s="21">
        <v>26.9</v>
      </c>
      <c r="F12" s="14">
        <v>0</v>
      </c>
      <c r="G12" s="15">
        <v>0</v>
      </c>
      <c r="H12" s="21">
        <v>0</v>
      </c>
      <c r="I12" s="14">
        <v>305.60000000000002</v>
      </c>
      <c r="J12" s="21">
        <v>863</v>
      </c>
      <c r="K12" s="14">
        <v>0</v>
      </c>
      <c r="L12" s="15">
        <v>0</v>
      </c>
      <c r="M12" s="21">
        <v>0</v>
      </c>
      <c r="N12" s="14">
        <v>0</v>
      </c>
      <c r="O12" s="7">
        <v>0</v>
      </c>
      <c r="P12" s="9">
        <v>0</v>
      </c>
      <c r="Q12" s="2">
        <v>0</v>
      </c>
      <c r="R12" s="7">
        <v>0</v>
      </c>
      <c r="S12" s="31">
        <f t="shared" si="0"/>
        <v>1331.8000000000002</v>
      </c>
      <c r="T12" s="20">
        <f t="shared" si="1"/>
        <v>0</v>
      </c>
    </row>
    <row r="13" spans="1:20" x14ac:dyDescent="0.35">
      <c r="A13" s="1" t="s">
        <v>13</v>
      </c>
      <c r="B13" s="7">
        <v>2022</v>
      </c>
      <c r="C13" s="14">
        <v>73.5</v>
      </c>
      <c r="D13" s="15">
        <v>281.5</v>
      </c>
      <c r="E13" s="21">
        <v>73.5</v>
      </c>
      <c r="F13" s="14">
        <v>0</v>
      </c>
      <c r="G13" s="15">
        <v>0</v>
      </c>
      <c r="H13" s="21">
        <v>0</v>
      </c>
      <c r="I13" s="14">
        <v>1020.2</v>
      </c>
      <c r="J13" s="21">
        <v>1363</v>
      </c>
      <c r="K13" s="14">
        <v>0</v>
      </c>
      <c r="L13" s="15">
        <v>0</v>
      </c>
      <c r="M13" s="21">
        <v>0</v>
      </c>
      <c r="N13" s="14">
        <v>0</v>
      </c>
      <c r="O13" s="7">
        <v>0</v>
      </c>
      <c r="P13" s="9">
        <v>0</v>
      </c>
      <c r="Q13" s="2">
        <v>0</v>
      </c>
      <c r="R13" s="7">
        <v>0</v>
      </c>
      <c r="S13" s="31">
        <f t="shared" si="0"/>
        <v>2811.7</v>
      </c>
      <c r="T13" s="20">
        <f t="shared" si="1"/>
        <v>0</v>
      </c>
    </row>
    <row r="14" spans="1:20" x14ac:dyDescent="0.35">
      <c r="A14" s="25" t="s">
        <v>2</v>
      </c>
      <c r="B14" s="26">
        <v>2023</v>
      </c>
      <c r="C14" s="27">
        <v>60.4</v>
      </c>
      <c r="D14" s="28">
        <v>326</v>
      </c>
      <c r="E14" s="26">
        <v>60.4</v>
      </c>
      <c r="F14" s="27">
        <v>1.6</v>
      </c>
      <c r="G14" s="28">
        <v>0</v>
      </c>
      <c r="H14" s="26">
        <v>0</v>
      </c>
      <c r="I14" s="27">
        <v>1047.2</v>
      </c>
      <c r="J14" s="26">
        <v>1102.8</v>
      </c>
      <c r="K14" s="27">
        <v>4.0999999999999996</v>
      </c>
      <c r="L14" s="28">
        <v>0</v>
      </c>
      <c r="M14" s="26">
        <v>1.8</v>
      </c>
      <c r="N14" s="27">
        <v>0</v>
      </c>
      <c r="O14" s="26">
        <v>0</v>
      </c>
      <c r="P14" s="27">
        <v>2.1</v>
      </c>
      <c r="Q14" s="28">
        <v>0</v>
      </c>
      <c r="R14" s="26">
        <v>0</v>
      </c>
      <c r="S14" s="29">
        <f t="shared" si="0"/>
        <v>2596.8000000000002</v>
      </c>
      <c r="T14" s="29">
        <f t="shared" si="1"/>
        <v>9.6</v>
      </c>
    </row>
    <row r="15" spans="1:20" x14ac:dyDescent="0.35">
      <c r="A15" s="25" t="s">
        <v>3</v>
      </c>
      <c r="B15" s="26">
        <v>2023</v>
      </c>
      <c r="C15" s="27">
        <v>251.8</v>
      </c>
      <c r="D15" s="28">
        <v>78.599999999999994</v>
      </c>
      <c r="E15" s="26">
        <v>251.8</v>
      </c>
      <c r="F15" s="27">
        <v>0</v>
      </c>
      <c r="G15" s="28">
        <v>0</v>
      </c>
      <c r="H15" s="26">
        <v>0</v>
      </c>
      <c r="I15" s="27">
        <v>729.9</v>
      </c>
      <c r="J15" s="26">
        <v>830.9</v>
      </c>
      <c r="K15" s="27">
        <v>0</v>
      </c>
      <c r="L15" s="28">
        <v>0</v>
      </c>
      <c r="M15" s="26">
        <v>0</v>
      </c>
      <c r="N15" s="27">
        <v>0</v>
      </c>
      <c r="O15" s="26">
        <v>0</v>
      </c>
      <c r="P15" s="27">
        <v>0</v>
      </c>
      <c r="Q15" s="28">
        <v>0</v>
      </c>
      <c r="R15" s="26">
        <v>0</v>
      </c>
      <c r="S15" s="29">
        <f t="shared" si="0"/>
        <v>2143</v>
      </c>
      <c r="T15" s="29">
        <f t="shared" si="1"/>
        <v>0</v>
      </c>
    </row>
    <row r="16" spans="1:20" x14ac:dyDescent="0.35">
      <c r="A16" s="25" t="s">
        <v>4</v>
      </c>
      <c r="B16" s="26">
        <v>2023</v>
      </c>
      <c r="C16" s="27">
        <v>0.6</v>
      </c>
      <c r="D16" s="28">
        <v>67</v>
      </c>
      <c r="E16" s="26">
        <v>0.6</v>
      </c>
      <c r="F16" s="27">
        <v>0</v>
      </c>
      <c r="G16" s="28">
        <v>0</v>
      </c>
      <c r="H16" s="26">
        <v>0</v>
      </c>
      <c r="I16" s="27">
        <v>556.29999999999995</v>
      </c>
      <c r="J16" s="26">
        <v>695.1</v>
      </c>
      <c r="K16" s="27">
        <v>0</v>
      </c>
      <c r="L16" s="28">
        <v>0</v>
      </c>
      <c r="M16" s="26">
        <v>0</v>
      </c>
      <c r="N16" s="27">
        <v>0</v>
      </c>
      <c r="O16" s="26">
        <v>0</v>
      </c>
      <c r="P16" s="27">
        <v>0</v>
      </c>
      <c r="Q16" s="28">
        <v>0</v>
      </c>
      <c r="R16" s="26">
        <v>0</v>
      </c>
      <c r="S16" s="29">
        <f t="shared" si="0"/>
        <v>1319.6</v>
      </c>
      <c r="T16" s="29">
        <f t="shared" si="1"/>
        <v>0</v>
      </c>
    </row>
    <row r="17" spans="1:20" x14ac:dyDescent="0.35">
      <c r="A17" s="25" t="s">
        <v>5</v>
      </c>
      <c r="B17" s="26">
        <v>2023</v>
      </c>
      <c r="C17" s="27">
        <v>0</v>
      </c>
      <c r="D17" s="28">
        <v>7.2</v>
      </c>
      <c r="E17" s="26">
        <v>0</v>
      </c>
      <c r="F17" s="27">
        <v>0</v>
      </c>
      <c r="G17" s="28">
        <v>0</v>
      </c>
      <c r="H17" s="26">
        <v>0</v>
      </c>
      <c r="I17" s="27">
        <v>39.799999999999997</v>
      </c>
      <c r="J17" s="26">
        <v>596.79999999999995</v>
      </c>
      <c r="K17" s="27">
        <v>0</v>
      </c>
      <c r="L17" s="28">
        <v>0</v>
      </c>
      <c r="M17" s="26">
        <v>0</v>
      </c>
      <c r="N17" s="27">
        <v>0</v>
      </c>
      <c r="O17" s="26">
        <v>0</v>
      </c>
      <c r="P17" s="27">
        <v>0</v>
      </c>
      <c r="Q17" s="28">
        <v>0</v>
      </c>
      <c r="R17" s="26">
        <v>0</v>
      </c>
      <c r="S17" s="29">
        <f t="shared" si="0"/>
        <v>643.79999999999995</v>
      </c>
      <c r="T17" s="29">
        <f t="shared" si="1"/>
        <v>0</v>
      </c>
    </row>
    <row r="18" spans="1:20" x14ac:dyDescent="0.35">
      <c r="A18" s="25" t="s">
        <v>6</v>
      </c>
      <c r="B18" s="26">
        <v>2023</v>
      </c>
      <c r="C18" s="27">
        <v>0</v>
      </c>
      <c r="D18" s="28">
        <v>0.1</v>
      </c>
      <c r="E18" s="26">
        <v>0</v>
      </c>
      <c r="F18" s="27">
        <v>0</v>
      </c>
      <c r="G18" s="28">
        <v>0.7</v>
      </c>
      <c r="H18" s="26">
        <v>2</v>
      </c>
      <c r="I18" s="27">
        <v>2.9</v>
      </c>
      <c r="J18" s="26">
        <v>146.1</v>
      </c>
      <c r="K18" s="27">
        <v>0.1</v>
      </c>
      <c r="L18" s="28">
        <v>1.1000000000000001</v>
      </c>
      <c r="M18" s="26">
        <v>1.3</v>
      </c>
      <c r="N18" s="27">
        <v>0</v>
      </c>
      <c r="O18" s="26">
        <v>0</v>
      </c>
      <c r="P18" s="27">
        <v>0</v>
      </c>
      <c r="Q18" s="28">
        <v>0</v>
      </c>
      <c r="R18" s="26">
        <v>0</v>
      </c>
      <c r="S18" s="29">
        <f t="shared" si="0"/>
        <v>149.1</v>
      </c>
      <c r="T18" s="29">
        <f t="shared" si="1"/>
        <v>5.2</v>
      </c>
    </row>
    <row r="19" spans="1:20" x14ac:dyDescent="0.35">
      <c r="A19" s="25" t="s">
        <v>7</v>
      </c>
      <c r="B19" s="26">
        <v>2023</v>
      </c>
      <c r="C19" s="27">
        <v>5.0999999999999996</v>
      </c>
      <c r="D19" s="28">
        <v>4.7</v>
      </c>
      <c r="E19" s="26">
        <v>5.0999999999999996</v>
      </c>
      <c r="F19" s="27">
        <v>72.3</v>
      </c>
      <c r="G19" s="28">
        <v>14.9</v>
      </c>
      <c r="H19" s="26">
        <v>107</v>
      </c>
      <c r="I19" s="27">
        <v>4.5</v>
      </c>
      <c r="J19" s="26">
        <v>3.6</v>
      </c>
      <c r="K19" s="27">
        <v>372.4</v>
      </c>
      <c r="L19" s="28">
        <v>458.5</v>
      </c>
      <c r="M19" s="26">
        <v>586.79999999999995</v>
      </c>
      <c r="N19" s="27">
        <v>0</v>
      </c>
      <c r="O19" s="26">
        <v>0</v>
      </c>
      <c r="P19" s="27">
        <v>1.1000000000000001</v>
      </c>
      <c r="Q19" s="28">
        <v>210.6</v>
      </c>
      <c r="R19" s="26">
        <v>0</v>
      </c>
      <c r="S19" s="29">
        <f t="shared" si="0"/>
        <v>23</v>
      </c>
      <c r="T19" s="29">
        <f t="shared" si="1"/>
        <v>1823.5999999999997</v>
      </c>
    </row>
    <row r="20" spans="1:20" x14ac:dyDescent="0.35">
      <c r="A20" s="25" t="s">
        <v>8</v>
      </c>
      <c r="B20" s="26">
        <v>2023</v>
      </c>
      <c r="C20" s="27">
        <v>2.1</v>
      </c>
      <c r="D20" s="28">
        <v>2.2000000000000002</v>
      </c>
      <c r="E20" s="30">
        <v>2.1</v>
      </c>
      <c r="F20" s="27">
        <v>19.899999999999999</v>
      </c>
      <c r="G20" s="28">
        <v>2.5</v>
      </c>
      <c r="H20" s="26">
        <v>43.3</v>
      </c>
      <c r="I20" s="27">
        <v>0.1</v>
      </c>
      <c r="J20" s="26">
        <v>0.1</v>
      </c>
      <c r="K20" s="27">
        <v>200.8</v>
      </c>
      <c r="L20" s="28">
        <v>217.4</v>
      </c>
      <c r="M20" s="26">
        <v>329.7</v>
      </c>
      <c r="N20" s="27">
        <v>0</v>
      </c>
      <c r="O20" s="26">
        <v>0</v>
      </c>
      <c r="P20" s="27">
        <v>0.8</v>
      </c>
      <c r="Q20" s="28">
        <v>149.19999999999999</v>
      </c>
      <c r="R20" s="26">
        <v>0</v>
      </c>
      <c r="S20" s="29">
        <f t="shared" si="0"/>
        <v>6.6</v>
      </c>
      <c r="T20" s="29">
        <f t="shared" si="1"/>
        <v>963.59999999999991</v>
      </c>
    </row>
    <row r="21" spans="1:20" x14ac:dyDescent="0.35">
      <c r="A21" s="25" t="s">
        <v>9</v>
      </c>
      <c r="B21" s="26">
        <v>2023</v>
      </c>
      <c r="C21" s="27">
        <v>0.4</v>
      </c>
      <c r="D21" s="28">
        <v>0</v>
      </c>
      <c r="E21" s="26">
        <v>0.4</v>
      </c>
      <c r="F21" s="27">
        <v>0</v>
      </c>
      <c r="G21" s="28">
        <v>0</v>
      </c>
      <c r="H21" s="26">
        <v>38.299999999999997</v>
      </c>
      <c r="I21" s="27">
        <v>0</v>
      </c>
      <c r="J21" s="26">
        <v>0</v>
      </c>
      <c r="K21" s="27">
        <v>24.7</v>
      </c>
      <c r="L21" s="28">
        <v>199.4</v>
      </c>
      <c r="M21" s="26">
        <v>147.5</v>
      </c>
      <c r="N21" s="27">
        <v>0</v>
      </c>
      <c r="O21" s="26">
        <v>0</v>
      </c>
      <c r="P21" s="27">
        <v>0.5</v>
      </c>
      <c r="Q21" s="28">
        <v>85.1</v>
      </c>
      <c r="R21" s="26">
        <v>0</v>
      </c>
      <c r="S21" s="29">
        <f t="shared" si="0"/>
        <v>0.8</v>
      </c>
      <c r="T21" s="29">
        <f t="shared" si="1"/>
        <v>495.5</v>
      </c>
    </row>
    <row r="22" spans="1:20" x14ac:dyDescent="0.35">
      <c r="A22" s="25" t="s">
        <v>10</v>
      </c>
      <c r="B22" s="26">
        <v>2023</v>
      </c>
      <c r="C22" s="27">
        <v>0</v>
      </c>
      <c r="D22" s="28">
        <v>0.1</v>
      </c>
      <c r="E22" s="26">
        <v>0</v>
      </c>
      <c r="F22" s="27">
        <v>0</v>
      </c>
      <c r="G22" s="28">
        <v>8.5</v>
      </c>
      <c r="H22" s="26">
        <v>303.8</v>
      </c>
      <c r="I22" s="27">
        <v>0.4</v>
      </c>
      <c r="J22" s="26">
        <v>0.2</v>
      </c>
      <c r="K22" s="27">
        <v>1.9</v>
      </c>
      <c r="L22" s="28">
        <v>187.8</v>
      </c>
      <c r="M22" s="26">
        <v>300.3</v>
      </c>
      <c r="N22" s="27">
        <v>0.1</v>
      </c>
      <c r="O22" s="26">
        <v>0</v>
      </c>
      <c r="P22" s="27">
        <v>15.4</v>
      </c>
      <c r="Q22" s="28">
        <v>97.2</v>
      </c>
      <c r="R22" s="26">
        <v>0</v>
      </c>
      <c r="S22" s="29">
        <f t="shared" si="0"/>
        <v>0.79999999999999993</v>
      </c>
      <c r="T22" s="29">
        <f t="shared" si="1"/>
        <v>914.9</v>
      </c>
    </row>
    <row r="23" spans="1:20" x14ac:dyDescent="0.35">
      <c r="A23" s="25" t="s">
        <v>11</v>
      </c>
      <c r="B23" s="26">
        <v>2023</v>
      </c>
      <c r="C23" s="27">
        <v>45.8</v>
      </c>
      <c r="D23" s="28">
        <v>1112.8</v>
      </c>
      <c r="E23" s="26">
        <v>45.8</v>
      </c>
      <c r="F23" s="27">
        <v>0</v>
      </c>
      <c r="G23" s="28">
        <v>0.8</v>
      </c>
      <c r="H23" s="26">
        <v>37.5</v>
      </c>
      <c r="I23" s="27">
        <v>986.6</v>
      </c>
      <c r="J23" s="26">
        <v>1866.4</v>
      </c>
      <c r="K23" s="27">
        <v>0.2</v>
      </c>
      <c r="L23" s="28">
        <v>1</v>
      </c>
      <c r="M23" s="26">
        <v>0.2</v>
      </c>
      <c r="N23" s="27">
        <v>181.6</v>
      </c>
      <c r="O23" s="26">
        <v>323.89999999999998</v>
      </c>
      <c r="P23" s="27">
        <v>0</v>
      </c>
      <c r="Q23" s="28">
        <v>0.4</v>
      </c>
      <c r="R23" s="26">
        <v>0</v>
      </c>
      <c r="S23" s="29">
        <f t="shared" si="0"/>
        <v>4562.8999999999996</v>
      </c>
      <c r="T23" s="29">
        <f t="shared" si="1"/>
        <v>40.1</v>
      </c>
    </row>
    <row r="24" spans="1:20" x14ac:dyDescent="0.35">
      <c r="A24" s="25" t="s">
        <v>12</v>
      </c>
      <c r="B24" s="26">
        <v>2023</v>
      </c>
      <c r="C24" s="27">
        <v>252.6</v>
      </c>
      <c r="D24" s="28">
        <v>825.7</v>
      </c>
      <c r="E24" s="26">
        <v>252.6</v>
      </c>
      <c r="F24" s="27">
        <v>0</v>
      </c>
      <c r="G24" s="28">
        <v>0</v>
      </c>
      <c r="H24" s="26">
        <v>0</v>
      </c>
      <c r="I24" s="27">
        <v>830</v>
      </c>
      <c r="J24" s="26">
        <v>2469.8000000000002</v>
      </c>
      <c r="K24" s="27">
        <v>0</v>
      </c>
      <c r="L24" s="28">
        <v>0</v>
      </c>
      <c r="M24" s="26">
        <v>0.1</v>
      </c>
      <c r="N24" s="27">
        <v>1205.9000000000001</v>
      </c>
      <c r="O24" s="26">
        <v>1701</v>
      </c>
      <c r="P24" s="27">
        <v>0</v>
      </c>
      <c r="Q24" s="28">
        <v>0.1</v>
      </c>
      <c r="R24" s="26">
        <v>0.4</v>
      </c>
      <c r="S24" s="29">
        <f t="shared" si="0"/>
        <v>7537.6</v>
      </c>
      <c r="T24" s="29">
        <f t="shared" si="1"/>
        <v>0.60000000000000009</v>
      </c>
    </row>
    <row r="25" spans="1:20" x14ac:dyDescent="0.35">
      <c r="A25" s="25" t="s">
        <v>13</v>
      </c>
      <c r="B25" s="26">
        <v>2023</v>
      </c>
      <c r="C25" s="27">
        <v>394.6</v>
      </c>
      <c r="D25" s="28">
        <v>1103.7</v>
      </c>
      <c r="E25" s="26">
        <v>394.6</v>
      </c>
      <c r="F25" s="27">
        <v>0</v>
      </c>
      <c r="G25" s="28">
        <v>0</v>
      </c>
      <c r="H25" s="26">
        <v>0.1</v>
      </c>
      <c r="I25" s="27">
        <v>892</v>
      </c>
      <c r="J25" s="26">
        <v>2995.9</v>
      </c>
      <c r="K25" s="27">
        <v>0</v>
      </c>
      <c r="L25" s="28">
        <v>0</v>
      </c>
      <c r="M25" s="26">
        <v>0</v>
      </c>
      <c r="N25" s="27">
        <v>1408.5</v>
      </c>
      <c r="O25" s="26">
        <v>2905</v>
      </c>
      <c r="P25" s="27">
        <v>0</v>
      </c>
      <c r="Q25" s="28">
        <v>0.2</v>
      </c>
      <c r="R25" s="26">
        <v>0.5</v>
      </c>
      <c r="S25" s="29">
        <f t="shared" si="0"/>
        <v>10094.299999999999</v>
      </c>
      <c r="T25" s="29">
        <f t="shared" si="1"/>
        <v>0.8</v>
      </c>
    </row>
    <row r="26" spans="1:20" x14ac:dyDescent="0.35">
      <c r="A26" s="1" t="s">
        <v>2</v>
      </c>
      <c r="B26" s="7">
        <v>2024</v>
      </c>
      <c r="C26" s="14">
        <v>417.8</v>
      </c>
      <c r="D26" s="15">
        <v>1746.3</v>
      </c>
      <c r="E26" s="21">
        <v>417.8</v>
      </c>
      <c r="F26" s="14">
        <v>0</v>
      </c>
      <c r="G26" s="15">
        <v>0</v>
      </c>
      <c r="H26" s="21">
        <v>0</v>
      </c>
      <c r="I26" s="14">
        <v>833</v>
      </c>
      <c r="J26" s="21">
        <v>3677.7</v>
      </c>
      <c r="K26" s="14">
        <v>0</v>
      </c>
      <c r="L26" s="15">
        <v>0</v>
      </c>
      <c r="M26" s="21">
        <v>0</v>
      </c>
      <c r="N26" s="9">
        <v>1299.9000000000001</v>
      </c>
      <c r="O26" s="7">
        <v>3324.1</v>
      </c>
      <c r="P26" s="9">
        <v>0</v>
      </c>
      <c r="Q26" s="2">
        <v>0</v>
      </c>
      <c r="R26" s="7">
        <v>0</v>
      </c>
      <c r="S26" s="20">
        <f t="shared" si="0"/>
        <v>11716.6</v>
      </c>
      <c r="T26" s="20">
        <f t="shared" si="1"/>
        <v>0</v>
      </c>
    </row>
    <row r="27" spans="1:20" x14ac:dyDescent="0.35">
      <c r="A27" s="1" t="s">
        <v>3</v>
      </c>
      <c r="B27" s="7">
        <v>2024</v>
      </c>
      <c r="C27" s="14">
        <v>290.8</v>
      </c>
      <c r="D27" s="15">
        <v>1155.9000000000001</v>
      </c>
      <c r="E27" s="21">
        <v>290.8</v>
      </c>
      <c r="F27" s="14">
        <v>0</v>
      </c>
      <c r="G27" s="15">
        <v>0</v>
      </c>
      <c r="H27" s="21">
        <v>0</v>
      </c>
      <c r="I27" s="14">
        <v>599</v>
      </c>
      <c r="J27" s="21">
        <v>2236</v>
      </c>
      <c r="K27" s="14">
        <v>0</v>
      </c>
      <c r="L27" s="15">
        <v>0.1</v>
      </c>
      <c r="M27" s="21">
        <v>0.1</v>
      </c>
      <c r="N27" s="9">
        <v>924.3</v>
      </c>
      <c r="O27" s="7">
        <v>1776.1</v>
      </c>
      <c r="P27" s="9">
        <v>0</v>
      </c>
      <c r="Q27" s="2">
        <v>0</v>
      </c>
      <c r="R27" s="7">
        <v>0.3</v>
      </c>
      <c r="S27" s="20">
        <f t="shared" si="0"/>
        <v>7272.9</v>
      </c>
      <c r="T27" s="20">
        <f t="shared" si="1"/>
        <v>0.5</v>
      </c>
    </row>
    <row r="28" spans="1:20" x14ac:dyDescent="0.35">
      <c r="A28" s="1" t="s">
        <v>4</v>
      </c>
      <c r="B28" s="7">
        <v>2024</v>
      </c>
      <c r="C28" s="14">
        <v>152</v>
      </c>
      <c r="D28" s="15">
        <v>594.1</v>
      </c>
      <c r="E28" s="21">
        <v>152</v>
      </c>
      <c r="F28" s="14">
        <v>0</v>
      </c>
      <c r="G28" s="15">
        <v>0</v>
      </c>
      <c r="H28" s="21">
        <v>0.3</v>
      </c>
      <c r="I28" s="14">
        <v>403.4</v>
      </c>
      <c r="J28" s="21">
        <v>1272.2</v>
      </c>
      <c r="K28" s="14">
        <v>0</v>
      </c>
      <c r="L28" s="15">
        <v>0</v>
      </c>
      <c r="M28" s="21">
        <v>0.2</v>
      </c>
      <c r="N28" s="9">
        <v>590.20000000000005</v>
      </c>
      <c r="O28" s="7">
        <v>974.1</v>
      </c>
      <c r="P28" s="9">
        <v>0</v>
      </c>
      <c r="Q28" s="2">
        <v>0.4</v>
      </c>
      <c r="R28" s="7">
        <v>0.3</v>
      </c>
      <c r="S28" s="20">
        <f t="shared" si="0"/>
        <v>4138</v>
      </c>
      <c r="T28" s="20">
        <f t="shared" si="1"/>
        <v>1.2</v>
      </c>
    </row>
    <row r="29" spans="1:20" x14ac:dyDescent="0.35">
      <c r="A29" s="1" t="s">
        <v>5</v>
      </c>
      <c r="B29" s="7">
        <v>2024</v>
      </c>
      <c r="C29" s="14">
        <v>95.3</v>
      </c>
      <c r="D29" s="15">
        <v>308.60000000000002</v>
      </c>
      <c r="E29" s="21">
        <v>95.3</v>
      </c>
      <c r="F29" s="14">
        <v>0</v>
      </c>
      <c r="G29" s="15">
        <v>0.1</v>
      </c>
      <c r="H29" s="21">
        <v>2</v>
      </c>
      <c r="I29" s="14">
        <v>375</v>
      </c>
      <c r="J29" s="21">
        <v>1065.2</v>
      </c>
      <c r="K29" s="14">
        <v>0</v>
      </c>
      <c r="L29" s="15">
        <v>0.2</v>
      </c>
      <c r="M29" s="21">
        <v>0.9</v>
      </c>
      <c r="N29" s="9">
        <v>521.1</v>
      </c>
      <c r="O29" s="7">
        <v>716.9</v>
      </c>
      <c r="P29" s="9">
        <v>0</v>
      </c>
      <c r="Q29" s="2">
        <v>2.2000000000000002</v>
      </c>
      <c r="R29" s="7">
        <v>3.8</v>
      </c>
      <c r="S29" s="20">
        <f t="shared" si="0"/>
        <v>3177.4</v>
      </c>
      <c r="T29" s="20">
        <f t="shared" si="1"/>
        <v>9.1999999999999993</v>
      </c>
    </row>
    <row r="30" spans="1:20" x14ac:dyDescent="0.35">
      <c r="A30" s="1" t="s">
        <v>6</v>
      </c>
      <c r="B30" s="7">
        <v>2024</v>
      </c>
      <c r="C30" s="14">
        <v>9.1999999999999993</v>
      </c>
      <c r="D30" s="15">
        <v>19</v>
      </c>
      <c r="E30" s="21">
        <v>9.1999999999999993</v>
      </c>
      <c r="F30" s="14">
        <v>0</v>
      </c>
      <c r="G30" s="15">
        <v>0</v>
      </c>
      <c r="H30" s="21">
        <v>3.9</v>
      </c>
      <c r="I30" s="14">
        <v>66.099999999999994</v>
      </c>
      <c r="J30" s="21">
        <v>151.5</v>
      </c>
      <c r="K30" s="14">
        <v>0</v>
      </c>
      <c r="L30" s="15">
        <v>1</v>
      </c>
      <c r="M30" s="21">
        <v>1.7</v>
      </c>
      <c r="N30" s="9">
        <v>56.9</v>
      </c>
      <c r="O30" s="7">
        <v>29.5</v>
      </c>
      <c r="P30" s="9">
        <v>0</v>
      </c>
      <c r="Q30" s="2">
        <v>1.5</v>
      </c>
      <c r="R30" s="7">
        <v>0.9</v>
      </c>
      <c r="S30" s="20">
        <f t="shared" si="0"/>
        <v>341.4</v>
      </c>
      <c r="T30" s="20">
        <f t="shared" si="1"/>
        <v>9.0000000000000018</v>
      </c>
    </row>
    <row r="31" spans="1:20" x14ac:dyDescent="0.35">
      <c r="A31" s="1" t="s">
        <v>7</v>
      </c>
      <c r="B31" s="7">
        <v>2024</v>
      </c>
      <c r="C31" s="14">
        <v>15.8</v>
      </c>
      <c r="D31" s="15">
        <v>37.9</v>
      </c>
      <c r="E31" s="21">
        <v>15.8</v>
      </c>
      <c r="F31" s="14">
        <v>43.1</v>
      </c>
      <c r="G31" s="15">
        <v>8.6</v>
      </c>
      <c r="H31" s="21">
        <v>205.9</v>
      </c>
      <c r="I31" s="14">
        <v>92.1</v>
      </c>
      <c r="J31" s="21">
        <v>191.2</v>
      </c>
      <c r="K31" s="14">
        <v>67.7</v>
      </c>
      <c r="L31" s="15">
        <v>297.2</v>
      </c>
      <c r="M31" s="21">
        <v>266.39999999999998</v>
      </c>
      <c r="N31" s="9">
        <v>90.9</v>
      </c>
      <c r="O31" s="7">
        <v>0</v>
      </c>
      <c r="P31" s="9">
        <v>46.3</v>
      </c>
      <c r="Q31" s="2">
        <v>54.3</v>
      </c>
      <c r="R31" s="7">
        <v>0</v>
      </c>
      <c r="S31" s="20">
        <f t="shared" si="0"/>
        <v>443.69999999999993</v>
      </c>
      <c r="T31" s="20">
        <f t="shared" si="1"/>
        <v>989.49999999999989</v>
      </c>
    </row>
    <row r="32" spans="1:20" x14ac:dyDescent="0.35">
      <c r="A32" s="1" t="s">
        <v>8</v>
      </c>
      <c r="B32" s="7">
        <v>2024</v>
      </c>
      <c r="C32" s="14">
        <v>1.9</v>
      </c>
      <c r="D32" s="15">
        <v>5.5</v>
      </c>
      <c r="E32" s="21">
        <v>1.9</v>
      </c>
      <c r="F32" s="14">
        <v>78.7</v>
      </c>
      <c r="G32" s="15">
        <v>14.7</v>
      </c>
      <c r="H32" s="21">
        <v>766.5</v>
      </c>
      <c r="I32" s="14">
        <v>11.4</v>
      </c>
      <c r="J32" s="21">
        <v>35.5</v>
      </c>
      <c r="K32" s="14">
        <v>4.4000000000000004</v>
      </c>
      <c r="L32" s="15">
        <v>646.79999999999995</v>
      </c>
      <c r="M32" s="21">
        <v>531.20000000000005</v>
      </c>
      <c r="N32" s="9">
        <v>31.9</v>
      </c>
      <c r="O32" s="7">
        <v>0</v>
      </c>
      <c r="P32" s="9">
        <v>39.700000000000003</v>
      </c>
      <c r="Q32" s="2">
        <v>416.9</v>
      </c>
      <c r="R32" s="7">
        <v>0</v>
      </c>
      <c r="S32" s="20">
        <f t="shared" si="0"/>
        <v>88.1</v>
      </c>
      <c r="T32" s="20">
        <f t="shared" si="1"/>
        <v>2498.9</v>
      </c>
    </row>
    <row r="33" spans="1:20" x14ac:dyDescent="0.35">
      <c r="A33" s="1" t="s">
        <v>9</v>
      </c>
      <c r="B33" s="7">
        <v>2024</v>
      </c>
      <c r="C33" s="14">
        <v>83.2</v>
      </c>
      <c r="D33" s="15">
        <v>122.2</v>
      </c>
      <c r="E33" s="21">
        <v>83.2</v>
      </c>
      <c r="F33" s="14">
        <v>243.3</v>
      </c>
      <c r="G33" s="15">
        <v>24.3</v>
      </c>
      <c r="H33" s="21">
        <v>1670</v>
      </c>
      <c r="I33" s="14">
        <v>2</v>
      </c>
      <c r="J33" s="21">
        <v>269</v>
      </c>
      <c r="K33" s="14">
        <v>377</v>
      </c>
      <c r="L33" s="15">
        <v>187.3</v>
      </c>
      <c r="M33" s="21">
        <v>800.2</v>
      </c>
      <c r="N33" s="9">
        <v>238.5</v>
      </c>
      <c r="O33" s="7">
        <v>0</v>
      </c>
      <c r="P33" s="9">
        <v>78.3</v>
      </c>
      <c r="Q33" s="2">
        <v>921.4</v>
      </c>
      <c r="R33" s="7">
        <v>0</v>
      </c>
      <c r="S33" s="20">
        <f t="shared" si="0"/>
        <v>798.1</v>
      </c>
      <c r="T33" s="20">
        <f t="shared" si="1"/>
        <v>4301.8</v>
      </c>
    </row>
    <row r="34" spans="1:20" x14ac:dyDescent="0.35">
      <c r="A34" s="1" t="s">
        <v>10</v>
      </c>
      <c r="B34" s="7">
        <v>2024</v>
      </c>
      <c r="C34" s="14">
        <v>39.6</v>
      </c>
      <c r="D34" s="15">
        <v>171.7</v>
      </c>
      <c r="E34" s="21">
        <v>39.6</v>
      </c>
      <c r="F34" s="14">
        <v>0</v>
      </c>
      <c r="G34" s="15">
        <v>3.6</v>
      </c>
      <c r="H34" s="21">
        <v>282</v>
      </c>
      <c r="I34" s="14">
        <v>33.299999999999997</v>
      </c>
      <c r="J34" s="21">
        <v>343</v>
      </c>
      <c r="K34" s="14">
        <v>0.7</v>
      </c>
      <c r="L34" s="15">
        <v>0.1</v>
      </c>
      <c r="M34" s="21">
        <v>182.7</v>
      </c>
      <c r="N34" s="9">
        <v>419</v>
      </c>
      <c r="O34" s="7">
        <v>0</v>
      </c>
      <c r="P34" s="9">
        <v>1.6</v>
      </c>
      <c r="Q34" s="2">
        <v>169.8</v>
      </c>
      <c r="R34" s="7">
        <v>0</v>
      </c>
      <c r="S34" s="20">
        <f t="shared" si="0"/>
        <v>1046.2</v>
      </c>
      <c r="T34" s="20">
        <f t="shared" si="1"/>
        <v>640.5</v>
      </c>
    </row>
    <row r="35" spans="1:20" x14ac:dyDescent="0.35">
      <c r="A35" s="1" t="s">
        <v>11</v>
      </c>
      <c r="B35" s="7">
        <v>2024</v>
      </c>
      <c r="C35" s="14">
        <v>0</v>
      </c>
      <c r="D35" s="15">
        <v>237</v>
      </c>
      <c r="E35" s="21">
        <v>0</v>
      </c>
      <c r="F35" s="14">
        <v>0</v>
      </c>
      <c r="G35" s="15">
        <v>0</v>
      </c>
      <c r="H35" s="21">
        <v>0</v>
      </c>
      <c r="I35" s="14">
        <v>227.2</v>
      </c>
      <c r="J35" s="21">
        <v>705.3</v>
      </c>
      <c r="K35" s="14">
        <v>0</v>
      </c>
      <c r="L35" s="15">
        <v>0</v>
      </c>
      <c r="M35" s="21">
        <v>0</v>
      </c>
      <c r="N35" s="9">
        <v>558.70000000000005</v>
      </c>
      <c r="O35" s="7">
        <v>0</v>
      </c>
      <c r="P35" s="9">
        <v>0</v>
      </c>
      <c r="Q35" s="2">
        <v>0.1</v>
      </c>
      <c r="R35" s="7">
        <v>0</v>
      </c>
      <c r="S35" s="20">
        <f t="shared" si="0"/>
        <v>1728.2</v>
      </c>
      <c r="T35" s="20">
        <f t="shared" si="1"/>
        <v>0.1</v>
      </c>
    </row>
    <row r="36" spans="1:20" x14ac:dyDescent="0.35">
      <c r="A36" s="1" t="s">
        <v>12</v>
      </c>
      <c r="B36" s="7">
        <v>2024</v>
      </c>
      <c r="C36" s="14">
        <v>22.1</v>
      </c>
      <c r="D36" s="15">
        <v>1409</v>
      </c>
      <c r="E36" s="21">
        <v>22.1</v>
      </c>
      <c r="F36" s="14">
        <v>0</v>
      </c>
      <c r="G36" s="15">
        <v>0</v>
      </c>
      <c r="H36" s="21">
        <v>0</v>
      </c>
      <c r="I36" s="14">
        <v>481.2</v>
      </c>
      <c r="J36" s="21">
        <v>2407.6</v>
      </c>
      <c r="K36" s="14">
        <v>0</v>
      </c>
      <c r="L36" s="15">
        <v>0</v>
      </c>
      <c r="M36" s="21">
        <v>0.1</v>
      </c>
      <c r="N36" s="9">
        <v>138.69999999999999</v>
      </c>
      <c r="O36" s="7">
        <v>0</v>
      </c>
      <c r="P36" s="9">
        <v>0</v>
      </c>
      <c r="Q36" s="2">
        <v>0.1</v>
      </c>
      <c r="R36" s="7">
        <v>0</v>
      </c>
      <c r="S36" s="20">
        <f t="shared" si="0"/>
        <v>4480.7</v>
      </c>
      <c r="T36" s="20">
        <f t="shared" si="1"/>
        <v>0.2</v>
      </c>
    </row>
    <row r="37" spans="1:20" ht="15" thickBot="1" x14ac:dyDescent="0.4">
      <c r="A37" s="3" t="s">
        <v>13</v>
      </c>
      <c r="B37" s="8">
        <v>2024</v>
      </c>
      <c r="C37" s="16">
        <v>118.6</v>
      </c>
      <c r="D37" s="17">
        <v>2500</v>
      </c>
      <c r="E37" s="22">
        <v>118.6</v>
      </c>
      <c r="F37" s="16">
        <v>0</v>
      </c>
      <c r="G37" s="17">
        <v>0</v>
      </c>
      <c r="H37" s="22">
        <v>0</v>
      </c>
      <c r="I37" s="16">
        <v>837.7</v>
      </c>
      <c r="J37" s="22">
        <v>3446.5</v>
      </c>
      <c r="K37" s="16">
        <v>0</v>
      </c>
      <c r="L37" s="17">
        <v>0</v>
      </c>
      <c r="M37" s="22">
        <v>0</v>
      </c>
      <c r="N37" s="10">
        <v>2072.4</v>
      </c>
      <c r="O37" s="7">
        <v>0</v>
      </c>
      <c r="P37" s="10">
        <v>0</v>
      </c>
      <c r="Q37" s="4">
        <v>0</v>
      </c>
      <c r="R37" s="8">
        <v>0</v>
      </c>
      <c r="S37" s="20">
        <f t="shared" ref="S3:S37" si="2">C37+D37+E37+I37+J37+N37+O37</f>
        <v>9093.7999999999993</v>
      </c>
      <c r="T37" s="20">
        <f>F37+G37+H37+K37+L37+M37+P37+Q37+R37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BC7-6671-44D6-A83E-CB96B5B24832}">
  <dimension ref="A1:E10"/>
  <sheetViews>
    <sheetView workbookViewId="0">
      <selection activeCell="B3" sqref="B3"/>
    </sheetView>
  </sheetViews>
  <sheetFormatPr defaultRowHeight="14.5" x14ac:dyDescent="0.35"/>
  <cols>
    <col min="1" max="1" width="18.6328125" bestFit="1" customWidth="1"/>
    <col min="2" max="2" width="16.1796875" bestFit="1" customWidth="1"/>
    <col min="3" max="4" width="6.81640625" bestFit="1" customWidth="1"/>
    <col min="5" max="5" width="10.7265625" bestFit="1" customWidth="1"/>
  </cols>
  <sheetData>
    <row r="1" spans="1:5" x14ac:dyDescent="0.35">
      <c r="B1" s="23" t="s">
        <v>34</v>
      </c>
    </row>
    <row r="2" spans="1:5" x14ac:dyDescent="0.35">
      <c r="B2">
        <v>2022</v>
      </c>
      <c r="C2">
        <v>2023</v>
      </c>
      <c r="D2">
        <v>2024</v>
      </c>
      <c r="E2" t="s">
        <v>32</v>
      </c>
    </row>
    <row r="3" spans="1:5" x14ac:dyDescent="0.35">
      <c r="A3" t="s">
        <v>33</v>
      </c>
      <c r="B3" s="24">
        <v>12117.100000000002</v>
      </c>
      <c r="C3" s="24">
        <v>29078.3</v>
      </c>
      <c r="D3" s="24">
        <v>44325.100000000006</v>
      </c>
      <c r="E3" s="24">
        <v>85520.5</v>
      </c>
    </row>
    <row r="8" spans="1:5" x14ac:dyDescent="0.35">
      <c r="B8" s="23" t="s">
        <v>34</v>
      </c>
    </row>
    <row r="9" spans="1:5" x14ac:dyDescent="0.35">
      <c r="B9">
        <v>2022</v>
      </c>
      <c r="C9">
        <v>2023</v>
      </c>
      <c r="D9">
        <v>2024</v>
      </c>
      <c r="E9" t="s">
        <v>32</v>
      </c>
    </row>
    <row r="10" spans="1:5" x14ac:dyDescent="0.35">
      <c r="A10" t="s">
        <v>35</v>
      </c>
      <c r="B10" s="24">
        <v>4281.5</v>
      </c>
      <c r="C10" s="24">
        <v>4253.9000000000005</v>
      </c>
      <c r="D10" s="24">
        <v>8450.9000000000015</v>
      </c>
      <c r="E10" s="24">
        <v>16986.300000000003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Data</vt:lpstr>
      <vt:lpstr>Auswertung</vt:lpstr>
    </vt:vector>
  </TitlesOfParts>
  <Company>GOPA Consulting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Hollaender, Kai</dc:creator>
  <cp:lastModifiedBy>Hollaender, Kai</cp:lastModifiedBy>
  <dcterms:created xsi:type="dcterms:W3CDTF">2025-02-25T14:25:34Z</dcterms:created>
  <dcterms:modified xsi:type="dcterms:W3CDTF">2025-02-26T12:31:01Z</dcterms:modified>
</cp:coreProperties>
</file>