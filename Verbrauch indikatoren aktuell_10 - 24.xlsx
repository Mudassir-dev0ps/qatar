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° EMS-KHO\b) Auditdokumente_Bereiche\Zahlen\"/>
    </mc:Choice>
  </mc:AlternateContent>
  <bookViews>
    <workbookView xWindow="28680" yWindow="-120" windowWidth="29040" windowHeight="15840" activeTab="3"/>
  </bookViews>
  <sheets>
    <sheet name="Base Data" sheetId="1" r:id="rId1"/>
    <sheet name="Paper" sheetId="5" r:id="rId2"/>
    <sheet name="Strom" sheetId="2" r:id="rId3"/>
    <sheet name="CO2" sheetId="3" r:id="rId4"/>
    <sheet name="Water" sheetId="4" r:id="rId5"/>
  </sheets>
  <calcPr calcId="162913"/>
  <pivotCaches>
    <pivotCache cacheId="0" r:id="rId6"/>
    <pivotCache cacheId="1" r:id="rId7"/>
    <pivotCache cacheId="2" r:id="rId8"/>
    <pivotCache cacheId="3" r:id="rId9"/>
    <pivotCache cacheId="4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5" l="1"/>
  <c r="Y40" i="1"/>
  <c r="Y42" i="1"/>
  <c r="X46" i="1"/>
  <c r="X45" i="1" s="1"/>
  <c r="Y45" i="1" s="1"/>
  <c r="X43" i="1"/>
  <c r="X42" i="1" s="1"/>
  <c r="X40" i="1"/>
  <c r="X38" i="1" s="1"/>
  <c r="Y38" i="1" s="1"/>
  <c r="X37" i="1"/>
  <c r="Y37" i="1" s="1"/>
  <c r="W32" i="1"/>
  <c r="W33" i="1" s="1"/>
  <c r="W34" i="1" s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AA39" i="1"/>
  <c r="AA40" i="1"/>
  <c r="AA41" i="1"/>
  <c r="AA42" i="1"/>
  <c r="AA43" i="1"/>
  <c r="AA44" i="1"/>
  <c r="AA45" i="1"/>
  <c r="AA46" i="1"/>
  <c r="AA47" i="1"/>
  <c r="AA48" i="1"/>
  <c r="AA49" i="1"/>
  <c r="I34" i="1"/>
  <c r="AG34" i="1" s="1"/>
  <c r="I35" i="1"/>
  <c r="AG35" i="1" s="1"/>
  <c r="I36" i="1"/>
  <c r="AG36" i="1" s="1"/>
  <c r="I37" i="1"/>
  <c r="AG37" i="1" s="1"/>
  <c r="I38" i="1"/>
  <c r="I39" i="1"/>
  <c r="I40" i="1"/>
  <c r="I41" i="1"/>
  <c r="I42" i="1"/>
  <c r="I43" i="1"/>
  <c r="I44" i="1"/>
  <c r="I45" i="1"/>
  <c r="I46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AA38" i="1"/>
  <c r="Q5" i="4"/>
  <c r="Q4" i="4"/>
  <c r="Q3" i="4"/>
  <c r="P7" i="3"/>
  <c r="P6" i="3"/>
  <c r="P5" i="3"/>
  <c r="Q7" i="2"/>
  <c r="Q6" i="2"/>
  <c r="Q5" i="2"/>
  <c r="R7" i="5"/>
  <c r="R6" i="5"/>
  <c r="D9" i="3"/>
  <c r="D8" i="3"/>
  <c r="C9" i="3"/>
  <c r="C8" i="3"/>
  <c r="B8" i="3"/>
  <c r="X35" i="1" l="1"/>
  <c r="Y35" i="1" s="1"/>
  <c r="X39" i="1"/>
  <c r="Y39" i="1" s="1"/>
  <c r="Y46" i="1"/>
  <c r="X36" i="1"/>
  <c r="Y36" i="1" s="1"/>
  <c r="J45" i="1"/>
  <c r="K45" i="1" s="1"/>
  <c r="Y43" i="1"/>
  <c r="X41" i="1"/>
  <c r="Y41" i="1" s="1"/>
  <c r="X44" i="1"/>
  <c r="R46" i="1"/>
  <c r="S46" i="1" s="1"/>
  <c r="R42" i="1"/>
  <c r="S42" i="1" s="1"/>
  <c r="J44" i="1"/>
  <c r="K44" i="1" s="1"/>
  <c r="J42" i="1"/>
  <c r="K42" i="1" s="1"/>
  <c r="J41" i="1"/>
  <c r="K41" i="1" s="1"/>
  <c r="R41" i="1"/>
  <c r="S41" i="1" s="1"/>
  <c r="R35" i="1"/>
  <c r="S35" i="1" s="1"/>
  <c r="J46" i="1"/>
  <c r="K46" i="1" s="1"/>
  <c r="J38" i="1"/>
  <c r="K38" i="1" s="1"/>
  <c r="R34" i="1"/>
  <c r="S34" i="1" s="1"/>
  <c r="R43" i="1"/>
  <c r="S43" i="1" s="1"/>
  <c r="J40" i="1"/>
  <c r="K40" i="1" s="1"/>
  <c r="R45" i="1"/>
  <c r="S45" i="1" s="1"/>
  <c r="R37" i="1"/>
  <c r="S37" i="1" s="1"/>
  <c r="J39" i="1"/>
  <c r="K39" i="1" s="1"/>
  <c r="I47" i="1"/>
  <c r="I48" i="1" s="1"/>
  <c r="I49" i="1" s="1"/>
  <c r="R36" i="1"/>
  <c r="S36" i="1" s="1"/>
  <c r="R44" i="1"/>
  <c r="S44" i="1" s="1"/>
  <c r="J43" i="1"/>
  <c r="K43" i="1" s="1"/>
  <c r="R40" i="1"/>
  <c r="S40" i="1" s="1"/>
  <c r="G47" i="1"/>
  <c r="G48" i="1" s="1"/>
  <c r="Q47" i="1"/>
  <c r="Q48" i="1" s="1"/>
  <c r="Q49" i="1" s="1"/>
  <c r="R39" i="1"/>
  <c r="S39" i="1" s="1"/>
  <c r="P47" i="1"/>
  <c r="H47" i="1"/>
  <c r="R38" i="1"/>
  <c r="S38" i="1" s="1"/>
  <c r="O47" i="1"/>
  <c r="O48" i="1" s="1"/>
  <c r="O49" i="1" s="1"/>
  <c r="T33" i="1"/>
  <c r="U33" i="1" s="1"/>
  <c r="X33" i="1" s="1"/>
  <c r="Y33" i="1" s="1"/>
  <c r="X47" i="1" l="1"/>
  <c r="Y44" i="1"/>
  <c r="H48" i="1"/>
  <c r="J48" i="1" s="1"/>
  <c r="K48" i="1" s="1"/>
  <c r="P48" i="1"/>
  <c r="R48" i="1" s="1"/>
  <c r="S48" i="1" s="1"/>
  <c r="G49" i="1"/>
  <c r="J47" i="1"/>
  <c r="K47" i="1" s="1"/>
  <c r="R47" i="1"/>
  <c r="S47" i="1" s="1"/>
  <c r="U32" i="1"/>
  <c r="X32" i="1" s="1"/>
  <c r="Y32" i="1" s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14" i="1"/>
  <c r="AA35" i="1"/>
  <c r="P30" i="1"/>
  <c r="P31" i="1" s="1"/>
  <c r="Q30" i="1"/>
  <c r="Q31" i="1" s="1"/>
  <c r="O30" i="1"/>
  <c r="O31" i="1" s="1"/>
  <c r="Q32" i="1"/>
  <c r="Q33" i="1"/>
  <c r="P32" i="1"/>
  <c r="P33" i="1"/>
  <c r="O32" i="1"/>
  <c r="O33" i="1"/>
  <c r="I30" i="1"/>
  <c r="H30" i="1"/>
  <c r="H31" i="1" s="1"/>
  <c r="G30" i="1"/>
  <c r="G31" i="1" s="1"/>
  <c r="I32" i="1"/>
  <c r="AG32" i="1" s="1"/>
  <c r="I33" i="1"/>
  <c r="AG33" i="1" s="1"/>
  <c r="H32" i="1"/>
  <c r="H33" i="1"/>
  <c r="G32" i="1"/>
  <c r="G33" i="1"/>
  <c r="X48" i="1" l="1"/>
  <c r="Y47" i="1"/>
  <c r="I31" i="1"/>
  <c r="AG31" i="1" s="1"/>
  <c r="AG30" i="1"/>
  <c r="H49" i="1"/>
  <c r="J49" i="1" s="1"/>
  <c r="K49" i="1" s="1"/>
  <c r="P49" i="1"/>
  <c r="R49" i="1" s="1"/>
  <c r="S49" i="1" s="1"/>
  <c r="R33" i="1"/>
  <c r="S33" i="1" s="1"/>
  <c r="R32" i="1"/>
  <c r="S32" i="1" s="1"/>
  <c r="J32" i="1"/>
  <c r="K32" i="1" s="1"/>
  <c r="J33" i="1"/>
  <c r="K33" i="1" s="1"/>
  <c r="AA36" i="1"/>
  <c r="R31" i="1"/>
  <c r="S31" i="1" s="1"/>
  <c r="R30" i="1"/>
  <c r="S30" i="1" s="1"/>
  <c r="X49" i="1" l="1"/>
  <c r="Y49" i="1" s="1"/>
  <c r="Y48" i="1"/>
  <c r="AA37" i="1"/>
  <c r="U29" i="1"/>
  <c r="X29" i="1" s="1"/>
  <c r="Y29" i="1" s="1"/>
  <c r="W29" i="1"/>
  <c r="W26" i="1"/>
  <c r="U26" i="1"/>
  <c r="X26" i="1" s="1"/>
  <c r="Y26" i="1" s="1"/>
  <c r="W27" i="1" l="1"/>
  <c r="W30" i="1"/>
  <c r="U27" i="1"/>
  <c r="U30" i="1"/>
  <c r="X30" i="1" s="1"/>
  <c r="Y30" i="1" s="1"/>
  <c r="X27" i="1" l="1"/>
  <c r="Y27" i="1" s="1"/>
  <c r="W31" i="1"/>
  <c r="W28" i="1"/>
  <c r="U28" i="1"/>
  <c r="X28" i="1" s="1"/>
  <c r="Y28" i="1" s="1"/>
  <c r="U31" i="1"/>
  <c r="X31" i="1" s="1"/>
  <c r="Y31" i="1" s="1"/>
  <c r="Q22" i="1"/>
  <c r="Q23" i="1"/>
  <c r="Q24" i="1"/>
  <c r="Q25" i="1"/>
  <c r="Q26" i="1"/>
  <c r="Q27" i="1"/>
  <c r="Q28" i="1"/>
  <c r="Q29" i="1"/>
  <c r="P22" i="1"/>
  <c r="P23" i="1"/>
  <c r="P24" i="1"/>
  <c r="P25" i="1"/>
  <c r="P26" i="1"/>
  <c r="P27" i="1"/>
  <c r="P28" i="1"/>
  <c r="P29" i="1"/>
  <c r="O22" i="1"/>
  <c r="O23" i="1"/>
  <c r="O24" i="1"/>
  <c r="O25" i="1"/>
  <c r="O26" i="1"/>
  <c r="O27" i="1"/>
  <c r="R27" i="1" s="1"/>
  <c r="S27" i="1" s="1"/>
  <c r="O28" i="1"/>
  <c r="R28" i="1" s="1"/>
  <c r="S28" i="1" s="1"/>
  <c r="O29" i="1"/>
  <c r="R29" i="1" s="1"/>
  <c r="S29" i="1" s="1"/>
  <c r="I22" i="1"/>
  <c r="AG22" i="1" s="1"/>
  <c r="I23" i="1"/>
  <c r="AG23" i="1" s="1"/>
  <c r="I24" i="1"/>
  <c r="AG24" i="1" s="1"/>
  <c r="I25" i="1"/>
  <c r="AG25" i="1" s="1"/>
  <c r="I26" i="1"/>
  <c r="AG26" i="1" s="1"/>
  <c r="I27" i="1"/>
  <c r="AG27" i="1" s="1"/>
  <c r="I28" i="1"/>
  <c r="AG28" i="1" s="1"/>
  <c r="I29" i="1"/>
  <c r="AG29" i="1" s="1"/>
  <c r="H22" i="1"/>
  <c r="H23" i="1"/>
  <c r="H24" i="1"/>
  <c r="H25" i="1"/>
  <c r="H26" i="1"/>
  <c r="H27" i="1"/>
  <c r="H28" i="1"/>
  <c r="H29" i="1"/>
  <c r="G23" i="1"/>
  <c r="G24" i="1"/>
  <c r="G25" i="1"/>
  <c r="G26" i="1"/>
  <c r="G27" i="1"/>
  <c r="G28" i="1"/>
  <c r="G29" i="1"/>
  <c r="G22" i="1"/>
  <c r="U34" i="1" l="1"/>
  <c r="X34" i="1" s="1"/>
  <c r="Y34" i="1" s="1"/>
  <c r="R25" i="1"/>
  <c r="S25" i="1" s="1"/>
  <c r="R22" i="1"/>
  <c r="S22" i="1" s="1"/>
  <c r="R24" i="1"/>
  <c r="S24" i="1" s="1"/>
  <c r="R23" i="1"/>
  <c r="S23" i="1" s="1"/>
  <c r="J23" i="1"/>
  <c r="K23" i="1" s="1"/>
  <c r="J22" i="1"/>
  <c r="J29" i="1"/>
  <c r="K29" i="1" s="1"/>
  <c r="J28" i="1"/>
  <c r="K28" i="1" s="1"/>
  <c r="J27" i="1"/>
  <c r="K27" i="1" s="1"/>
  <c r="J24" i="1"/>
  <c r="K24" i="1" s="1"/>
  <c r="J25" i="1"/>
  <c r="K25" i="1" s="1"/>
  <c r="J30" i="1"/>
  <c r="K30" i="1" s="1"/>
  <c r="R26" i="1"/>
  <c r="S26" i="1" s="1"/>
  <c r="J26" i="1"/>
  <c r="K26" i="1" s="1"/>
  <c r="J34" i="1" l="1"/>
  <c r="K34" i="1" s="1"/>
  <c r="J31" i="1"/>
  <c r="K31" i="1" s="1"/>
  <c r="W21" i="1"/>
  <c r="W22" i="1"/>
  <c r="W23" i="1"/>
  <c r="W24" i="1"/>
  <c r="W25" i="1"/>
  <c r="W2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3" i="1"/>
  <c r="U2" i="1"/>
  <c r="U21" i="1"/>
  <c r="U22" i="1"/>
  <c r="X22" i="1" s="1"/>
  <c r="Y22" i="1" s="1"/>
  <c r="U23" i="1"/>
  <c r="U24" i="1"/>
  <c r="X24" i="1" s="1"/>
  <c r="Y24" i="1" s="1"/>
  <c r="U25" i="1"/>
  <c r="X25" i="1" s="1"/>
  <c r="Y25" i="1" s="1"/>
  <c r="U4" i="1"/>
  <c r="X4" i="1" s="1"/>
  <c r="Y4" i="1" s="1"/>
  <c r="U5" i="1"/>
  <c r="X5" i="1" s="1"/>
  <c r="Y5" i="1" s="1"/>
  <c r="U6" i="1"/>
  <c r="X6" i="1" s="1"/>
  <c r="Y6" i="1" s="1"/>
  <c r="U7" i="1"/>
  <c r="X7" i="1" s="1"/>
  <c r="Y7" i="1" s="1"/>
  <c r="U8" i="1"/>
  <c r="X8" i="1" s="1"/>
  <c r="Y8" i="1" s="1"/>
  <c r="U9" i="1"/>
  <c r="X9" i="1" s="1"/>
  <c r="Y9" i="1" s="1"/>
  <c r="U10" i="1"/>
  <c r="X10" i="1" s="1"/>
  <c r="Y10" i="1" s="1"/>
  <c r="U11" i="1"/>
  <c r="X11" i="1" s="1"/>
  <c r="Y11" i="1" s="1"/>
  <c r="U12" i="1"/>
  <c r="X12" i="1" s="1"/>
  <c r="Y12" i="1" s="1"/>
  <c r="U13" i="1"/>
  <c r="X13" i="1" s="1"/>
  <c r="Y13" i="1" s="1"/>
  <c r="U14" i="1"/>
  <c r="X14" i="1" s="1"/>
  <c r="Y14" i="1" s="1"/>
  <c r="U15" i="1"/>
  <c r="X15" i="1" s="1"/>
  <c r="Y15" i="1" s="1"/>
  <c r="U16" i="1"/>
  <c r="X16" i="1" s="1"/>
  <c r="Y16" i="1" s="1"/>
  <c r="U17" i="1"/>
  <c r="X17" i="1" s="1"/>
  <c r="Y17" i="1" s="1"/>
  <c r="U18" i="1"/>
  <c r="X18" i="1" s="1"/>
  <c r="Y18" i="1" s="1"/>
  <c r="U19" i="1"/>
  <c r="X19" i="1" s="1"/>
  <c r="Y19" i="1" s="1"/>
  <c r="U20" i="1"/>
  <c r="X20" i="1" s="1"/>
  <c r="Y20" i="1" s="1"/>
  <c r="U3" i="1"/>
  <c r="X3" i="1" s="1"/>
  <c r="Y3" i="1" s="1"/>
  <c r="X23" i="1" l="1"/>
  <c r="Y23" i="1" s="1"/>
  <c r="X21" i="1"/>
  <c r="Y21" i="1" s="1"/>
  <c r="X2" i="1"/>
  <c r="Y2" i="1" s="1"/>
  <c r="J36" i="1"/>
  <c r="K36" i="1" s="1"/>
  <c r="J35" i="1"/>
  <c r="K35" i="1" s="1"/>
  <c r="K22" i="1"/>
  <c r="J37" i="1" l="1"/>
  <c r="K37" i="1" s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" i="1"/>
  <c r="Q2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4" i="1"/>
  <c r="O3" i="1"/>
  <c r="O2" i="1"/>
  <c r="I3" i="1"/>
  <c r="AG3" i="1" s="1"/>
  <c r="I4" i="1"/>
  <c r="AG4" i="1" s="1"/>
  <c r="I5" i="1"/>
  <c r="AG5" i="1" s="1"/>
  <c r="I6" i="1"/>
  <c r="AG6" i="1" s="1"/>
  <c r="I7" i="1"/>
  <c r="AG7" i="1" s="1"/>
  <c r="I8" i="1"/>
  <c r="AG8" i="1" s="1"/>
  <c r="I9" i="1"/>
  <c r="AG9" i="1" s="1"/>
  <c r="I10" i="1"/>
  <c r="AG10" i="1" s="1"/>
  <c r="I11" i="1"/>
  <c r="AG11" i="1" s="1"/>
  <c r="I12" i="1"/>
  <c r="AG12" i="1" s="1"/>
  <c r="I13" i="1"/>
  <c r="AG13" i="1" s="1"/>
  <c r="I14" i="1"/>
  <c r="AG14" i="1" s="1"/>
  <c r="I15" i="1"/>
  <c r="AG15" i="1" s="1"/>
  <c r="I16" i="1"/>
  <c r="AG16" i="1" s="1"/>
  <c r="I17" i="1"/>
  <c r="AG17" i="1" s="1"/>
  <c r="I18" i="1"/>
  <c r="AG18" i="1" s="1"/>
  <c r="I19" i="1"/>
  <c r="AG19" i="1" s="1"/>
  <c r="I20" i="1"/>
  <c r="AG20" i="1" s="1"/>
  <c r="I21" i="1"/>
  <c r="AG21" i="1" s="1"/>
  <c r="I2" i="1"/>
  <c r="AG2" i="1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5" i="1"/>
  <c r="G4" i="1"/>
  <c r="G3" i="1"/>
  <c r="G2" i="1"/>
  <c r="J10" i="1" l="1"/>
  <c r="K10" i="1" s="1"/>
  <c r="J18" i="1"/>
  <c r="K18" i="1" s="1"/>
  <c r="J2" i="1"/>
  <c r="K2" i="1" s="1"/>
  <c r="J20" i="1"/>
  <c r="K20" i="1" s="1"/>
  <c r="J12" i="1"/>
  <c r="K12" i="1" s="1"/>
  <c r="J3" i="1"/>
  <c r="K3" i="1" s="1"/>
  <c r="J16" i="1"/>
  <c r="K16" i="1" s="1"/>
  <c r="J8" i="1"/>
  <c r="K8" i="1" s="1"/>
  <c r="R19" i="1"/>
  <c r="S19" i="1" s="1"/>
  <c r="R9" i="1"/>
  <c r="S9" i="1" s="1"/>
  <c r="R21" i="1"/>
  <c r="S21" i="1" s="1"/>
  <c r="J5" i="1"/>
  <c r="K5" i="1" s="1"/>
  <c r="J6" i="1"/>
  <c r="K6" i="1" s="1"/>
  <c r="R20" i="1"/>
  <c r="S20" i="1" s="1"/>
  <c r="J4" i="1"/>
  <c r="K4" i="1" s="1"/>
  <c r="R18" i="1"/>
  <c r="S18" i="1" s="1"/>
  <c r="J14" i="1"/>
  <c r="K14" i="1" s="1"/>
  <c r="R2" i="1"/>
  <c r="S2" i="1" s="1"/>
  <c r="R16" i="1"/>
  <c r="S16" i="1" s="1"/>
  <c r="R8" i="1"/>
  <c r="S8" i="1" s="1"/>
  <c r="R15" i="1"/>
  <c r="S15" i="1" s="1"/>
  <c r="R7" i="1"/>
  <c r="S7" i="1" s="1"/>
  <c r="R4" i="1"/>
  <c r="S4" i="1" s="1"/>
  <c r="R17" i="1"/>
  <c r="S17" i="1" s="1"/>
  <c r="R3" i="1"/>
  <c r="S3" i="1" s="1"/>
  <c r="R11" i="1"/>
  <c r="S11" i="1" s="1"/>
  <c r="R10" i="1"/>
  <c r="S10" i="1" s="1"/>
  <c r="R6" i="1"/>
  <c r="S6" i="1" s="1"/>
  <c r="R14" i="1"/>
  <c r="S14" i="1" s="1"/>
  <c r="R13" i="1"/>
  <c r="S13" i="1" s="1"/>
  <c r="R5" i="1"/>
  <c r="S5" i="1" s="1"/>
  <c r="R12" i="1"/>
  <c r="S12" i="1" s="1"/>
  <c r="J19" i="1"/>
  <c r="K19" i="1" s="1"/>
  <c r="J11" i="1"/>
  <c r="K11" i="1" s="1"/>
  <c r="J9" i="1"/>
  <c r="K9" i="1" s="1"/>
  <c r="J17" i="1"/>
  <c r="K17" i="1" s="1"/>
  <c r="J15" i="1"/>
  <c r="K15" i="1" s="1"/>
  <c r="J7" i="1"/>
  <c r="K7" i="1" s="1"/>
  <c r="J21" i="1"/>
  <c r="K21" i="1" s="1"/>
  <c r="J13" i="1"/>
  <c r="K13" i="1" s="1"/>
</calcChain>
</file>

<file path=xl/sharedStrings.xml><?xml version="1.0" encoding="utf-8"?>
<sst xmlns="http://schemas.openxmlformats.org/spreadsheetml/2006/main" count="173" uniqueCount="63">
  <si>
    <t>Monat</t>
  </si>
  <si>
    <t xml:space="preserve">Jahr </t>
  </si>
  <si>
    <t>Januar</t>
  </si>
  <si>
    <t>Februar</t>
  </si>
  <si>
    <t>März</t>
  </si>
  <si>
    <t>April</t>
  </si>
  <si>
    <t xml:space="preserve">Mai </t>
  </si>
  <si>
    <t>Juni</t>
  </si>
  <si>
    <t>Juli</t>
  </si>
  <si>
    <t>August</t>
  </si>
  <si>
    <t>September</t>
  </si>
  <si>
    <t>Oktober</t>
  </si>
  <si>
    <t>November</t>
  </si>
  <si>
    <t>Dezember</t>
  </si>
  <si>
    <t>Zählerstand 1 
( 68581029 )</t>
  </si>
  <si>
    <t>Zählerstand 2 
(68581026)</t>
  </si>
  <si>
    <t>Zählerstand 
(68580984)</t>
  </si>
  <si>
    <t>Zählerstand 1
 (749814838)</t>
  </si>
  <si>
    <t>Zählerstand 2 
(749814944)</t>
  </si>
  <si>
    <t>Zählerstand 
(749814890)</t>
  </si>
  <si>
    <t>Wasser 
gesamt (Monat)</t>
  </si>
  <si>
    <t>Anzahl 
Mitarbeiter (Durchschnitt)</t>
  </si>
  <si>
    <t>Verbrauch
Zählerstand 1 
( 68581029 )</t>
  </si>
  <si>
    <t>Verbrauch
Zählerstand 2 
(68581026)</t>
  </si>
  <si>
    <t>Verbrauch
Zählerstand 
(68580984)</t>
  </si>
  <si>
    <t>Verbrauch
Zählerstand 1
 (749814838)</t>
  </si>
  <si>
    <t>Verbrauch
Zählerstand 2 
(749814944)</t>
  </si>
  <si>
    <t>Verbrauch
Zählerstand 
(749814890)</t>
  </si>
  <si>
    <t>Verbrauch Druck</t>
  </si>
  <si>
    <t>Verbrauch kopien</t>
  </si>
  <si>
    <t>CO2 kg</t>
  </si>
  <si>
    <t>Strom Gesamt 
(kWh)</t>
  </si>
  <si>
    <t>Stromverbrauch pro Kopf/Monat</t>
  </si>
  <si>
    <t>Verbrauch/Kopf/Monat</t>
  </si>
  <si>
    <t>Papier 
Druck (Stand Ende des Monats)</t>
  </si>
  <si>
    <t>Papier 
Kopien (Stand Ende des Monats)</t>
  </si>
  <si>
    <t>BN1-PR05 (Gerät beim Büro von Tesa Weiss): 447 Jobs;  2463 Seiten</t>
  </si>
  <si>
    <t>BN1-PR04 (Serverraum)                    : 1536 Jobs; 7741 Seiten</t>
  </si>
  <si>
    <t>BN1-PR06 (Finanzen)                      : 301 Jobs;  831 Seiten</t>
  </si>
  <si>
    <t>CO2 kg 
Verbrauch/Kopf</t>
  </si>
  <si>
    <t>Verbrauch total</t>
  </si>
  <si>
    <t>Column Labels</t>
  </si>
  <si>
    <t>Sum of Strom Gesamt 
(kWh)</t>
  </si>
  <si>
    <t xml:space="preserve">Average of Strom Gesamt </t>
  </si>
  <si>
    <t>Average of Stromverbrauch pro Kopf/Monat</t>
  </si>
  <si>
    <t>Sum of CO2 kg</t>
  </si>
  <si>
    <t>Average of CO2 kg</t>
  </si>
  <si>
    <t xml:space="preserve">Average of CO2 kg </t>
  </si>
  <si>
    <t>Sum of Wasser 
gesamt (Monat)</t>
  </si>
  <si>
    <t xml:space="preserve">Average of Wasser </t>
  </si>
  <si>
    <t>Average of Verbrauch/Kopf/Monat</t>
  </si>
  <si>
    <t>Sum of Verbrauch total</t>
  </si>
  <si>
    <t>Average of Verbrauch total</t>
  </si>
  <si>
    <t>Verbrauch/Kopf</t>
  </si>
  <si>
    <t>Average of Verbrauch/Kopf</t>
  </si>
  <si>
    <t>% change from 2023 to 2024</t>
  </si>
  <si>
    <t>SUM</t>
  </si>
  <si>
    <t>Average</t>
  </si>
  <si>
    <t>Average per capita</t>
  </si>
  <si>
    <t>+</t>
  </si>
  <si>
    <t>-</t>
  </si>
  <si>
    <t>RFI Faktor 3</t>
  </si>
  <si>
    <t>RFI Faktor 2 (ab 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</si>
</sst>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onsolas"/>
      <family val="3"/>
    </font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86">
    <xf numFmtId="0" fontId="0" fillId="0" borderId="0" xfId="0"/>
    <xf numFmtId="0" fontId="2" fillId="0" borderId="1" xfId="0" applyFont="1" applyBorder="1"/>
    <xf numFmtId="0" fontId="2" fillId="0" borderId="7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 applyAlignment="1">
      <alignment wrapText="1"/>
    </xf>
    <xf numFmtId="0" fontId="1" fillId="2" borderId="11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3" borderId="12" xfId="0" applyFont="1" applyFill="1" applyBorder="1" applyAlignment="1">
      <alignment horizont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wrapText="1"/>
    </xf>
    <xf numFmtId="0" fontId="1" fillId="3" borderId="15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wrapText="1"/>
    </xf>
    <xf numFmtId="0" fontId="1" fillId="4" borderId="12" xfId="0" applyFont="1" applyFill="1" applyBorder="1" applyAlignment="1">
      <alignment wrapText="1"/>
    </xf>
    <xf numFmtId="0" fontId="1" fillId="5" borderId="14" xfId="0" applyFont="1" applyFill="1" applyBorder="1"/>
    <xf numFmtId="0" fontId="1" fillId="4" borderId="13" xfId="0" applyFont="1" applyFill="1" applyBorder="1" applyAlignment="1">
      <alignment wrapText="1"/>
    </xf>
    <xf numFmtId="0" fontId="2" fillId="7" borderId="3" xfId="0" applyFont="1" applyFill="1" applyBorder="1"/>
    <xf numFmtId="0" fontId="2" fillId="7" borderId="6" xfId="0" applyFont="1" applyFill="1" applyBorder="1"/>
    <xf numFmtId="0" fontId="2" fillId="7" borderId="7" xfId="0" applyFont="1" applyFill="1" applyBorder="1"/>
    <xf numFmtId="0" fontId="0" fillId="7" borderId="8" xfId="0" applyFill="1" applyBorder="1"/>
    <xf numFmtId="0" fontId="0" fillId="7" borderId="9" xfId="0" applyFill="1" applyBorder="1"/>
    <xf numFmtId="0" fontId="0" fillId="0" borderId="9" xfId="0" applyBorder="1"/>
    <xf numFmtId="0" fontId="4" fillId="7" borderId="18" xfId="0" applyFont="1" applyFill="1" applyBorder="1" applyAlignment="1">
      <alignment horizontal="center" vertical="center" wrapText="1"/>
    </xf>
    <xf numFmtId="3" fontId="4" fillId="7" borderId="17" xfId="0" applyNumberFormat="1" applyFont="1" applyFill="1" applyBorder="1" applyAlignment="1">
      <alignment horizontal="center" vertical="center" wrapText="1"/>
    </xf>
    <xf numFmtId="3" fontId="4" fillId="7" borderId="18" xfId="0" applyNumberFormat="1" applyFont="1" applyFill="1" applyBorder="1" applyAlignment="1">
      <alignment horizontal="center" vertical="center" wrapText="1"/>
    </xf>
    <xf numFmtId="3" fontId="4" fillId="7" borderId="23" xfId="0" applyNumberFormat="1" applyFont="1" applyFill="1" applyBorder="1" applyAlignment="1">
      <alignment horizontal="center" vertical="center" wrapText="1"/>
    </xf>
    <xf numFmtId="3" fontId="4" fillId="7" borderId="24" xfId="0" applyNumberFormat="1" applyFont="1" applyFill="1" applyBorder="1" applyAlignment="1">
      <alignment horizontal="center" vertical="center" wrapText="1"/>
    </xf>
    <xf numFmtId="2" fontId="4" fillId="7" borderId="17" xfId="0" applyNumberFormat="1" applyFont="1" applyFill="1" applyBorder="1" applyAlignment="1">
      <alignment horizontal="center" vertical="center"/>
    </xf>
    <xf numFmtId="2" fontId="4" fillId="7" borderId="18" xfId="0" applyNumberFormat="1" applyFont="1" applyFill="1" applyBorder="1" applyAlignment="1">
      <alignment horizontal="center" vertical="center"/>
    </xf>
    <xf numFmtId="2" fontId="4" fillId="7" borderId="19" xfId="0" applyNumberFormat="1" applyFont="1" applyFill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 wrapText="1"/>
    </xf>
    <xf numFmtId="0" fontId="4" fillId="7" borderId="26" xfId="0" applyFont="1" applyFill="1" applyBorder="1" applyAlignment="1">
      <alignment horizontal="center" vertical="center" wrapText="1"/>
    </xf>
    <xf numFmtId="0" fontId="4" fillId="7" borderId="27" xfId="0" applyFont="1" applyFill="1" applyBorder="1" applyAlignment="1">
      <alignment horizontal="center" vertical="center" wrapText="1"/>
    </xf>
    <xf numFmtId="0" fontId="4" fillId="7" borderId="16" xfId="0" applyFont="1" applyFill="1" applyBorder="1" applyAlignment="1">
      <alignment horizontal="justify" vertical="center" wrapText="1"/>
    </xf>
    <xf numFmtId="3" fontId="3" fillId="7" borderId="28" xfId="0" applyNumberFormat="1" applyFont="1" applyFill="1" applyBorder="1"/>
    <xf numFmtId="3" fontId="0" fillId="7" borderId="4" xfId="0" applyNumberFormat="1" applyFill="1" applyBorder="1"/>
    <xf numFmtId="0" fontId="0" fillId="7" borderId="6" xfId="0" applyFill="1" applyBorder="1"/>
    <xf numFmtId="3" fontId="0" fillId="7" borderId="5" xfId="0" applyNumberFormat="1" applyFill="1" applyBorder="1"/>
    <xf numFmtId="3" fontId="3" fillId="7" borderId="6" xfId="0" applyNumberFormat="1" applyFont="1" applyFill="1" applyBorder="1"/>
    <xf numFmtId="3" fontId="3" fillId="7" borderId="3" xfId="0" applyNumberFormat="1" applyFont="1" applyFill="1" applyBorder="1"/>
    <xf numFmtId="3" fontId="3" fillId="7" borderId="27" xfId="0" applyNumberFormat="1" applyFont="1" applyFill="1" applyBorder="1"/>
    <xf numFmtId="3" fontId="0" fillId="7" borderId="26" xfId="0" applyNumberFormat="1" applyFill="1" applyBorder="1"/>
    <xf numFmtId="0" fontId="0" fillId="0" borderId="1" xfId="0" applyBorder="1"/>
    <xf numFmtId="0" fontId="1" fillId="2" borderId="29" xfId="0" applyFont="1" applyFill="1" applyBorder="1" applyAlignment="1">
      <alignment wrapText="1"/>
    </xf>
    <xf numFmtId="2" fontId="4" fillId="7" borderId="18" xfId="0" applyNumberFormat="1" applyFont="1" applyFill="1" applyBorder="1" applyAlignment="1">
      <alignment horizontal="center" vertical="center" wrapText="1"/>
    </xf>
    <xf numFmtId="164" fontId="4" fillId="7" borderId="17" xfId="0" applyNumberFormat="1" applyFont="1" applyFill="1" applyBorder="1" applyAlignment="1">
      <alignment horizontal="justify" vertical="center" wrapText="1"/>
    </xf>
    <xf numFmtId="164" fontId="4" fillId="7" borderId="20" xfId="0" applyNumberFormat="1" applyFont="1" applyFill="1" applyBorder="1" applyAlignment="1">
      <alignment horizontal="justify" vertical="center" wrapText="1"/>
    </xf>
    <xf numFmtId="0" fontId="2" fillId="0" borderId="2" xfId="0" applyFont="1" applyBorder="1"/>
    <xf numFmtId="0" fontId="0" fillId="0" borderId="10" xfId="0" applyBorder="1"/>
    <xf numFmtId="2" fontId="4" fillId="0" borderId="20" xfId="0" applyNumberFormat="1" applyFont="1" applyBorder="1" applyAlignment="1">
      <alignment horizontal="center" vertical="center"/>
    </xf>
    <xf numFmtId="2" fontId="4" fillId="0" borderId="18" xfId="0" applyNumberFormat="1" applyFont="1" applyBorder="1" applyAlignment="1">
      <alignment horizontal="center" vertical="center"/>
    </xf>
    <xf numFmtId="2" fontId="4" fillId="0" borderId="21" xfId="0" applyNumberFormat="1" applyFont="1" applyBorder="1" applyAlignment="1">
      <alignment horizontal="center" vertical="center"/>
    </xf>
    <xf numFmtId="0" fontId="0" fillId="0" borderId="30" xfId="0" applyBorder="1"/>
    <xf numFmtId="2" fontId="4" fillId="0" borderId="22" xfId="0" applyNumberFormat="1" applyFont="1" applyBorder="1" applyAlignment="1">
      <alignment horizontal="center" vertical="center"/>
    </xf>
    <xf numFmtId="3" fontId="4" fillId="6" borderId="1" xfId="0" applyNumberFormat="1" applyFont="1" applyFill="1" applyBorder="1" applyAlignment="1">
      <alignment horizontal="center" vertical="center" wrapText="1"/>
    </xf>
    <xf numFmtId="0" fontId="2" fillId="10" borderId="3" xfId="0" applyFont="1" applyFill="1" applyBorder="1"/>
    <xf numFmtId="0" fontId="0" fillId="10" borderId="35" xfId="0" applyFill="1" applyBorder="1"/>
    <xf numFmtId="2" fontId="4" fillId="10" borderId="35" xfId="0" applyNumberFormat="1" applyFont="1" applyFill="1" applyBorder="1" applyAlignment="1">
      <alignment horizontal="center" vertical="center"/>
    </xf>
    <xf numFmtId="0" fontId="2" fillId="10" borderId="6" xfId="0" applyFont="1" applyFill="1" applyBorder="1"/>
    <xf numFmtId="0" fontId="0" fillId="10" borderId="1" xfId="0" applyFill="1" applyBorder="1"/>
    <xf numFmtId="2" fontId="4" fillId="10" borderId="1" xfId="0" applyNumberFormat="1" applyFont="1" applyFill="1" applyBorder="1" applyAlignment="1">
      <alignment horizontal="center" vertical="center"/>
    </xf>
    <xf numFmtId="3" fontId="4" fillId="10" borderId="1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justify" vertical="center" wrapText="1"/>
    </xf>
    <xf numFmtId="164" fontId="4" fillId="10" borderId="1" xfId="0" applyNumberFormat="1" applyFont="1" applyFill="1" applyBorder="1" applyAlignment="1">
      <alignment horizontal="justify" vertical="center" wrapText="1"/>
    </xf>
    <xf numFmtId="0" fontId="0" fillId="6" borderId="1" xfId="0" applyFill="1" applyBorder="1"/>
    <xf numFmtId="0" fontId="0" fillId="8" borderId="1" xfId="0" applyFill="1" applyBorder="1"/>
    <xf numFmtId="1" fontId="0" fillId="6" borderId="1" xfId="0" applyNumberFormat="1" applyFill="1" applyBorder="1"/>
    <xf numFmtId="1" fontId="0" fillId="10" borderId="1" xfId="0" applyNumberFormat="1" applyFill="1" applyBorder="1"/>
    <xf numFmtId="4" fontId="0" fillId="10" borderId="1" xfId="0" applyNumberFormat="1" applyFill="1" applyBorder="1"/>
    <xf numFmtId="0" fontId="4" fillId="6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0" fillId="11" borderId="0" xfId="0" applyFill="1" applyAlignment="1">
      <alignment wrapText="1"/>
    </xf>
    <xf numFmtId="0" fontId="0" fillId="7" borderId="26" xfId="0" applyFill="1" applyBorder="1"/>
    <xf numFmtId="0" fontId="0" fillId="7" borderId="27" xfId="0" applyFill="1" applyBorder="1"/>
    <xf numFmtId="2" fontId="0" fillId="0" borderId="27" xfId="0" applyNumberFormat="1" applyBorder="1"/>
    <xf numFmtId="2" fontId="0" fillId="0" borderId="9" xfId="0" applyNumberFormat="1" applyBorder="1"/>
    <xf numFmtId="2" fontId="0" fillId="0" borderId="30" xfId="0" applyNumberFormat="1" applyBorder="1"/>
    <xf numFmtId="2" fontId="0" fillId="10" borderId="8" xfId="0" applyNumberFormat="1" applyFill="1" applyBorder="1"/>
    <xf numFmtId="2" fontId="0" fillId="10" borderId="9" xfId="0" applyNumberFormat="1" applyFill="1" applyBorder="1"/>
    <xf numFmtId="16" fontId="0" fillId="0" borderId="0" xfId="0" applyNumberFormat="1"/>
    <xf numFmtId="0" fontId="2" fillId="10" borderId="33" xfId="0" applyFont="1" applyFill="1" applyBorder="1"/>
    <xf numFmtId="0" fontId="0" fillId="10" borderId="36" xfId="0" applyFill="1" applyBorder="1"/>
    <xf numFmtId="2" fontId="4" fillId="10" borderId="36" xfId="0" applyNumberFormat="1" applyFont="1" applyFill="1" applyBorder="1" applyAlignment="1">
      <alignment horizontal="center" vertical="center"/>
    </xf>
    <xf numFmtId="2" fontId="0" fillId="10" borderId="30" xfId="0" applyNumberFormat="1" applyFill="1" applyBorder="1"/>
    <xf numFmtId="2" fontId="0" fillId="10" borderId="36" xfId="0" applyNumberFormat="1" applyFill="1" applyBorder="1"/>
    <xf numFmtId="2" fontId="0" fillId="10" borderId="1" xfId="0" applyNumberFormat="1" applyFill="1" applyBorder="1"/>
    <xf numFmtId="2" fontId="0" fillId="0" borderId="1" xfId="0" applyNumberFormat="1" applyBorder="1"/>
    <xf numFmtId="2" fontId="0" fillId="0" borderId="0" xfId="0" applyNumberFormat="1"/>
    <xf numFmtId="2" fontId="0" fillId="6" borderId="1" xfId="0" applyNumberFormat="1" applyFill="1" applyBorder="1"/>
    <xf numFmtId="2" fontId="4" fillId="6" borderId="36" xfId="0" applyNumberFormat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 wrapText="1"/>
    </xf>
    <xf numFmtId="2" fontId="4" fillId="0" borderId="36" xfId="0" applyNumberFormat="1" applyFont="1" applyBorder="1" applyAlignment="1">
      <alignment horizontal="center" vertical="center"/>
    </xf>
    <xf numFmtId="165" fontId="0" fillId="0" borderId="1" xfId="0" applyNumberFormat="1" applyBorder="1"/>
    <xf numFmtId="2" fontId="4" fillId="10" borderId="1" xfId="0" applyNumberFormat="1" applyFont="1" applyFill="1" applyBorder="1" applyAlignment="1">
      <alignment horizontal="justify" vertical="center" wrapText="1"/>
    </xf>
    <xf numFmtId="2" fontId="4" fillId="6" borderId="1" xfId="0" applyNumberFormat="1" applyFont="1" applyFill="1" applyBorder="1" applyAlignment="1">
      <alignment horizontal="justify" vertical="center" wrapText="1"/>
    </xf>
    <xf numFmtId="164" fontId="4" fillId="6" borderId="1" xfId="0" applyNumberFormat="1" applyFont="1" applyFill="1" applyBorder="1" applyAlignment="1">
      <alignment horizontal="justify" vertical="center" wrapText="1"/>
    </xf>
    <xf numFmtId="2" fontId="0" fillId="0" borderId="37" xfId="0" applyNumberFormat="1" applyBorder="1"/>
    <xf numFmtId="0" fontId="4" fillId="10" borderId="36" xfId="0" applyFont="1" applyFill="1" applyBorder="1" applyAlignment="1">
      <alignment horizontal="center" vertical="center" wrapText="1"/>
    </xf>
    <xf numFmtId="2" fontId="4" fillId="10" borderId="36" xfId="0" applyNumberFormat="1" applyFont="1" applyFill="1" applyBorder="1" applyAlignment="1">
      <alignment horizontal="justify" vertical="center" wrapText="1"/>
    </xf>
    <xf numFmtId="164" fontId="4" fillId="10" borderId="36" xfId="0" applyNumberFormat="1" applyFont="1" applyFill="1" applyBorder="1" applyAlignment="1">
      <alignment horizontal="justify" vertical="center" wrapText="1"/>
    </xf>
    <xf numFmtId="2" fontId="4" fillId="6" borderId="2" xfId="0" applyNumberFormat="1" applyFont="1" applyFill="1" applyBorder="1" applyAlignment="1">
      <alignment horizontal="justify" vertical="center" wrapText="1"/>
    </xf>
    <xf numFmtId="3" fontId="0" fillId="0" borderId="0" xfId="0" applyNumberFormat="1"/>
    <xf numFmtId="1" fontId="0" fillId="10" borderId="9" xfId="0" applyNumberFormat="1" applyFill="1" applyBorder="1"/>
    <xf numFmtId="3" fontId="0" fillId="10" borderId="29" xfId="0" applyNumberFormat="1" applyFill="1" applyBorder="1"/>
    <xf numFmtId="1" fontId="0" fillId="10" borderId="30" xfId="0" applyNumberFormat="1" applyFill="1" applyBorder="1"/>
    <xf numFmtId="0" fontId="0" fillId="0" borderId="0" xfId="0" pivotButton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4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justify" vertical="center" wrapText="1"/>
    </xf>
    <xf numFmtId="164" fontId="4" fillId="0" borderId="1" xfId="0" applyNumberFormat="1" applyFont="1" applyBorder="1" applyAlignment="1">
      <alignment horizontal="justify" vertical="center" wrapText="1"/>
    </xf>
    <xf numFmtId="2" fontId="4" fillId="6" borderId="2" xfId="0" applyNumberFormat="1" applyFont="1" applyFill="1" applyBorder="1" applyAlignment="1">
      <alignment horizontal="center" vertical="center" wrapText="1"/>
    </xf>
    <xf numFmtId="3" fontId="0" fillId="10" borderId="0" xfId="0" applyNumberFormat="1" applyFill="1"/>
    <xf numFmtId="3" fontId="0" fillId="0" borderId="26" xfId="0" applyNumberFormat="1" applyBorder="1"/>
    <xf numFmtId="0" fontId="0" fillId="7" borderId="30" xfId="0" applyFill="1" applyBorder="1"/>
    <xf numFmtId="2" fontId="4" fillId="7" borderId="22" xfId="0" applyNumberFormat="1" applyFont="1" applyFill="1" applyBorder="1" applyAlignment="1">
      <alignment horizontal="center" vertical="center" wrapText="1"/>
    </xf>
    <xf numFmtId="3" fontId="4" fillId="7" borderId="22" xfId="0" applyNumberFormat="1" applyFont="1" applyFill="1" applyBorder="1" applyAlignment="1">
      <alignment horizontal="center" vertical="center" wrapText="1"/>
    </xf>
    <xf numFmtId="3" fontId="4" fillId="7" borderId="25" xfId="0" applyNumberFormat="1" applyFont="1" applyFill="1" applyBorder="1" applyAlignment="1">
      <alignment horizontal="center" vertical="center" wrapText="1"/>
    </xf>
    <xf numFmtId="2" fontId="4" fillId="7" borderId="22" xfId="0" applyNumberFormat="1" applyFont="1" applyFill="1" applyBorder="1" applyAlignment="1">
      <alignment horizontal="center" vertical="center"/>
    </xf>
    <xf numFmtId="0" fontId="4" fillId="7" borderId="22" xfId="0" applyFont="1" applyFill="1" applyBorder="1" applyAlignment="1">
      <alignment horizontal="center" vertical="center"/>
    </xf>
    <xf numFmtId="0" fontId="4" fillId="7" borderId="22" xfId="0" applyFont="1" applyFill="1" applyBorder="1" applyAlignment="1">
      <alignment horizontal="center" vertical="center" wrapText="1"/>
    </xf>
    <xf numFmtId="0" fontId="4" fillId="7" borderId="31" xfId="0" applyFont="1" applyFill="1" applyBorder="1" applyAlignment="1">
      <alignment horizontal="center" vertical="center" wrapText="1"/>
    </xf>
    <xf numFmtId="0" fontId="4" fillId="7" borderId="32" xfId="0" applyFont="1" applyFill="1" applyBorder="1" applyAlignment="1">
      <alignment horizontal="justify" vertical="center" wrapText="1"/>
    </xf>
    <xf numFmtId="164" fontId="4" fillId="7" borderId="21" xfId="0" applyNumberFormat="1" applyFont="1" applyFill="1" applyBorder="1" applyAlignment="1">
      <alignment horizontal="justify" vertical="center" wrapText="1"/>
    </xf>
    <xf numFmtId="3" fontId="3" fillId="7" borderId="33" xfId="0" applyNumberFormat="1" applyFont="1" applyFill="1" applyBorder="1"/>
    <xf numFmtId="3" fontId="0" fillId="7" borderId="34" xfId="0" applyNumberFormat="1" applyFill="1" applyBorder="1"/>
    <xf numFmtId="3" fontId="3" fillId="7" borderId="31" xfId="0" applyNumberFormat="1" applyFont="1" applyFill="1" applyBorder="1"/>
    <xf numFmtId="3" fontId="0" fillId="7" borderId="28" xfId="0" applyNumberFormat="1" applyFill="1" applyBorder="1"/>
    <xf numFmtId="0" fontId="0" fillId="7" borderId="31" xfId="0" applyFill="1" applyBorder="1"/>
    <xf numFmtId="0" fontId="0" fillId="0" borderId="36" xfId="0" applyBorder="1"/>
    <xf numFmtId="0" fontId="2" fillId="10" borderId="38" xfId="0" applyFont="1" applyFill="1" applyBorder="1"/>
    <xf numFmtId="0" fontId="0" fillId="10" borderId="2" xfId="0" applyFill="1" applyBorder="1"/>
    <xf numFmtId="2" fontId="4" fillId="10" borderId="2" xfId="0" applyNumberFormat="1" applyFont="1" applyFill="1" applyBorder="1" applyAlignment="1">
      <alignment horizontal="center" vertical="center"/>
    </xf>
    <xf numFmtId="3" fontId="4" fillId="10" borderId="2" xfId="0" applyNumberFormat="1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justify" vertical="center" wrapText="1"/>
    </xf>
    <xf numFmtId="164" fontId="4" fillId="10" borderId="2" xfId="0" applyNumberFormat="1" applyFont="1" applyFill="1" applyBorder="1" applyAlignment="1">
      <alignment horizontal="justify" vertical="center" wrapText="1"/>
    </xf>
    <xf numFmtId="0" fontId="0" fillId="8" borderId="2" xfId="0" applyFill="1" applyBorder="1"/>
    <xf numFmtId="1" fontId="0" fillId="6" borderId="2" xfId="0" applyNumberFormat="1" applyFill="1" applyBorder="1"/>
    <xf numFmtId="2" fontId="0" fillId="10" borderId="10" xfId="0" applyNumberFormat="1" applyFill="1" applyBorder="1"/>
    <xf numFmtId="165" fontId="0" fillId="0" borderId="2" xfId="0" applyNumberFormat="1" applyBorder="1"/>
    <xf numFmtId="2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 vertical="center" wrapText="1"/>
    </xf>
    <xf numFmtId="3" fontId="3" fillId="0" borderId="1" xfId="0" applyNumberFormat="1" applyFont="1" applyBorder="1"/>
    <xf numFmtId="3" fontId="0" fillId="0" borderId="1" xfId="0" applyNumberFormat="1" applyBorder="1"/>
    <xf numFmtId="3" fontId="0" fillId="8" borderId="1" xfId="0" applyNumberFormat="1" applyFill="1" applyBorder="1"/>
    <xf numFmtId="3" fontId="3" fillId="8" borderId="1" xfId="0" applyNumberFormat="1" applyFont="1" applyFill="1" applyBorder="1"/>
    <xf numFmtId="2" fontId="4" fillId="9" borderId="1" xfId="0" applyNumberFormat="1" applyFont="1" applyFill="1" applyBorder="1" applyAlignment="1">
      <alignment horizontal="center" vertical="center"/>
    </xf>
    <xf numFmtId="0" fontId="2" fillId="0" borderId="3" xfId="0" applyFont="1" applyBorder="1"/>
    <xf numFmtId="0" fontId="0" fillId="0" borderId="35" xfId="0" applyBorder="1"/>
    <xf numFmtId="2" fontId="4" fillId="0" borderId="35" xfId="0" applyNumberFormat="1" applyFont="1" applyBorder="1" applyAlignment="1">
      <alignment horizontal="center" vertical="center"/>
    </xf>
    <xf numFmtId="3" fontId="4" fillId="0" borderId="35" xfId="0" applyNumberFormat="1" applyFont="1" applyBorder="1" applyAlignment="1">
      <alignment horizontal="center" vertical="center"/>
    </xf>
    <xf numFmtId="3" fontId="4" fillId="0" borderId="35" xfId="0" applyNumberFormat="1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justify" vertical="center" wrapText="1"/>
    </xf>
    <xf numFmtId="164" fontId="4" fillId="0" borderId="35" xfId="0" applyNumberFormat="1" applyFont="1" applyBorder="1" applyAlignment="1">
      <alignment horizontal="justify" vertical="center" wrapText="1"/>
    </xf>
    <xf numFmtId="3" fontId="3" fillId="0" borderId="35" xfId="0" applyNumberFormat="1" applyFont="1" applyBorder="1"/>
    <xf numFmtId="3" fontId="0" fillId="0" borderId="35" xfId="0" applyNumberFormat="1" applyBorder="1"/>
    <xf numFmtId="2" fontId="0" fillId="0" borderId="35" xfId="0" applyNumberFormat="1" applyBorder="1"/>
    <xf numFmtId="0" fontId="0" fillId="0" borderId="4" xfId="0" applyBorder="1"/>
    <xf numFmtId="0" fontId="2" fillId="0" borderId="6" xfId="0" applyFont="1" applyBorder="1"/>
    <xf numFmtId="0" fontId="0" fillId="0" borderId="5" xfId="0" applyBorder="1"/>
    <xf numFmtId="0" fontId="2" fillId="0" borderId="39" xfId="0" applyFont="1" applyBorder="1"/>
    <xf numFmtId="0" fontId="0" fillId="0" borderId="40" xfId="0" applyBorder="1"/>
    <xf numFmtId="2" fontId="4" fillId="0" borderId="40" xfId="0" applyNumberFormat="1" applyFont="1" applyBorder="1" applyAlignment="1">
      <alignment horizontal="center" vertical="center"/>
    </xf>
    <xf numFmtId="3" fontId="4" fillId="0" borderId="40" xfId="0" applyNumberFormat="1" applyFont="1" applyBorder="1" applyAlignment="1">
      <alignment horizontal="center" vertical="center" wrapText="1"/>
    </xf>
    <xf numFmtId="2" fontId="4" fillId="9" borderId="40" xfId="0" applyNumberFormat="1" applyFont="1" applyFill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justify" vertical="center" wrapText="1"/>
    </xf>
    <xf numFmtId="164" fontId="4" fillId="0" borderId="40" xfId="0" applyNumberFormat="1" applyFont="1" applyBorder="1" applyAlignment="1">
      <alignment horizontal="justify" vertical="center" wrapText="1"/>
    </xf>
    <xf numFmtId="3" fontId="0" fillId="0" borderId="40" xfId="0" applyNumberFormat="1" applyBorder="1"/>
    <xf numFmtId="3" fontId="3" fillId="0" borderId="40" xfId="0" applyNumberFormat="1" applyFont="1" applyBorder="1"/>
    <xf numFmtId="2" fontId="0" fillId="0" borderId="40" xfId="0" applyNumberFormat="1" applyBorder="1"/>
    <xf numFmtId="0" fontId="0" fillId="0" borderId="41" xfId="0" applyBorder="1"/>
    <xf numFmtId="1" fontId="0" fillId="0" borderId="9" xfId="0" applyNumberFormat="1" applyBorder="1"/>
    <xf numFmtId="1" fontId="0" fillId="6" borderId="9" xfId="0" applyNumberFormat="1" applyFill="1" applyBorder="1"/>
    <xf numFmtId="2" fontId="0" fillId="12" borderId="1" xfId="0" applyNumberFormat="1" applyFill="1" applyBorder="1"/>
    <xf numFmtId="2" fontId="0" fillId="12" borderId="1" xfId="1" applyNumberFormat="1" applyFont="1" applyFill="1" applyBorder="1"/>
    <xf numFmtId="2" fontId="0" fillId="13" borderId="1" xfId="1" applyNumberFormat="1" applyFont="1" applyFill="1" applyBorder="1"/>
    <xf numFmtId="0" fontId="1" fillId="0" borderId="1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0">
    <dxf>
      <numFmt numFmtId="165" formatCode="0.0"/>
    </dxf>
    <dxf>
      <numFmt numFmtId="164" formatCode="0.000"/>
    </dxf>
    <dxf>
      <numFmt numFmtId="165" formatCode="0.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65" formatCode="0.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[Verbrauch indikatoren aktuell_10 - 24.xlsx]Paper!PivotTable1</c:name>
    <c:fmtId val="0"/>
  </c:pivotSource>
  <c:chart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Paper!$B$1:$B$2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Paper!$A$3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Paper!$B$3</c:f>
              <c:numCache>
                <c:formatCode>0</c:formatCode>
                <c:ptCount val="1"/>
                <c:pt idx="0">
                  <c:v>104603.33333333333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92-45A1-9D5B-33F9306ED97E}"/>
            </c:ext>
          </c:extLst>
        </c:ser>
        <c:ser>
          <c:idx val="1"/>
          <c:order val="1"/>
          <c:tx>
            <c:strRef>
              <c:f>Paper!$C$1:$C$2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Paper!$A$3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Paper!$C$3</c:f>
              <c:numCache>
                <c:formatCode>0</c:formatCode>
                <c:ptCount val="1"/>
                <c:pt idx="0">
                  <c:v>89176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92-45A1-9D5B-33F9306ED97E}"/>
            </c:ext>
          </c:extLst>
        </c:ser>
        <c:ser>
          <c:idx val="2"/>
          <c:order val="2"/>
          <c:tx>
            <c:strRef>
              <c:f>Paper!$D$1:$D$2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Paper!$A$3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Paper!$D$3</c:f>
              <c:numCache>
                <c:formatCode>0</c:formatCode>
                <c:ptCount val="1"/>
                <c:pt idx="0">
                  <c:v>84131.10714285713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92-45A1-9D5B-33F9306ED97E}"/>
            </c:ext>
          </c:extLst>
        </c:ser>
        <c:ser>
          <c:idx val="3"/>
          <c:order val="3"/>
          <c:tx>
            <c:strRef>
              <c:f>Paper!$E$1:$E$2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Paper!$A$3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Paper!$E$3</c:f>
              <c:numCache>
                <c:formatCode>0</c:formatCode>
                <c:ptCount val="1"/>
                <c:pt idx="0">
                  <c:v>82002.666666666686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B92-45A1-9D5B-33F9306ED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4640688"/>
        <c:axId val="1034641168"/>
      </c:barChart>
      <c:catAx>
        <c:axId val="1034640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34641168"/>
        <c:crosses val="autoZero"/>
        <c:auto val="1"/>
        <c:lblAlgn val="ctr"/>
        <c:lblOffset val="100"/>
        <c:noMultiLvlLbl val="0"/>
      </c:catAx>
      <c:valAx>
        <c:axId val="103464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Print</a:t>
                </a:r>
                <a:r>
                  <a:rPr lang="de-DE" baseline="0"/>
                  <a:t>-outs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346406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[Verbrauch indikatoren aktuell_10 - 24.xlsx]Paper!PivotTable2</c:name>
    <c:fmtId val="0"/>
  </c:pivotSource>
  <c:chart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Paper!$B$20:$B$21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Paper!$A$22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Paper!$B$22</c:f>
              <c:numCache>
                <c:formatCode>0</c:formatCode>
                <c:ptCount val="1"/>
                <c:pt idx="0">
                  <c:v>8716.9444444444434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29-4FC1-BAC2-BAAD465011AD}"/>
            </c:ext>
          </c:extLst>
        </c:ser>
        <c:ser>
          <c:idx val="1"/>
          <c:order val="1"/>
          <c:tx>
            <c:strRef>
              <c:f>Paper!$C$20:$C$21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Paper!$A$22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Paper!$C$22</c:f>
              <c:numCache>
                <c:formatCode>0</c:formatCode>
                <c:ptCount val="1"/>
                <c:pt idx="0">
                  <c:v>7431.333333333333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29-4FC1-BAC2-BAAD465011AD}"/>
            </c:ext>
          </c:extLst>
        </c:ser>
        <c:ser>
          <c:idx val="2"/>
          <c:order val="2"/>
          <c:tx>
            <c:strRef>
              <c:f>Paper!$D$20:$D$21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Paper!$A$22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Paper!$D$22</c:f>
              <c:numCache>
                <c:formatCode>0</c:formatCode>
                <c:ptCount val="1"/>
                <c:pt idx="0">
                  <c:v>7010.9255952380945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29-4FC1-BAC2-BAAD465011AD}"/>
            </c:ext>
          </c:extLst>
        </c:ser>
        <c:ser>
          <c:idx val="3"/>
          <c:order val="3"/>
          <c:tx>
            <c:strRef>
              <c:f>Paper!$E$20:$E$21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Paper!$A$22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Paper!$E$22</c:f>
              <c:numCache>
                <c:formatCode>0</c:formatCode>
                <c:ptCount val="1"/>
                <c:pt idx="0">
                  <c:v>6833.5555555555575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229-4FC1-BAC2-BAAD46501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1993536"/>
        <c:axId val="1021994016"/>
      </c:barChart>
      <c:catAx>
        <c:axId val="1021993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21994016"/>
        <c:crosses val="autoZero"/>
        <c:auto val="1"/>
        <c:lblAlgn val="ctr"/>
        <c:lblOffset val="100"/>
        <c:noMultiLvlLbl val="0"/>
      </c:catAx>
      <c:valAx>
        <c:axId val="102199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Print ous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219935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[Verbrauch indikatoren aktuell_10 - 24.xlsx]Paper!PivotTable3</c:name>
    <c:fmtId val="0"/>
  </c:pivotSource>
  <c:chart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Paper!$B$39:$B$40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Paper!$A$41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Paper!$B$41</c:f>
              <c:numCache>
                <c:formatCode>#,##0</c:formatCode>
                <c:ptCount val="1"/>
                <c:pt idx="0">
                  <c:v>169.59206273512427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02-4D36-A8C8-97BA685E3EE9}"/>
            </c:ext>
          </c:extLst>
        </c:ser>
        <c:ser>
          <c:idx val="1"/>
          <c:order val="1"/>
          <c:tx>
            <c:strRef>
              <c:f>Paper!$C$39:$C$40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Paper!$A$41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Paper!$C$41</c:f>
              <c:numCache>
                <c:formatCode>#,##0</c:formatCode>
                <c:ptCount val="1"/>
                <c:pt idx="0">
                  <c:v>135.11515151515155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02-4D36-A8C8-97BA685E3EE9}"/>
            </c:ext>
          </c:extLst>
        </c:ser>
        <c:ser>
          <c:idx val="2"/>
          <c:order val="2"/>
          <c:tx>
            <c:strRef>
              <c:f>Paper!$D$39:$D$40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Paper!$A$41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Paper!$D$41</c:f>
              <c:numCache>
                <c:formatCode>#,##0</c:formatCode>
                <c:ptCount val="1"/>
                <c:pt idx="0">
                  <c:v>118.82924737691685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02-4D36-A8C8-97BA685E3EE9}"/>
            </c:ext>
          </c:extLst>
        </c:ser>
        <c:ser>
          <c:idx val="3"/>
          <c:order val="3"/>
          <c:tx>
            <c:strRef>
              <c:f>Paper!$E$39:$E$40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Paper!$A$41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Paper!$E$41</c:f>
              <c:numCache>
                <c:formatCode>#,##0</c:formatCode>
                <c:ptCount val="1"/>
                <c:pt idx="0">
                  <c:v>103.53872053872055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B02-4D36-A8C8-97BA685E3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6265983"/>
        <c:axId val="1166250143"/>
      </c:barChart>
      <c:catAx>
        <c:axId val="1166265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66250143"/>
        <c:crosses val="autoZero"/>
        <c:auto val="1"/>
        <c:lblAlgn val="ctr"/>
        <c:lblOffset val="100"/>
        <c:noMultiLvlLbl val="0"/>
      </c:catAx>
      <c:valAx>
        <c:axId val="1166250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Print outs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6626598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[Verbrauch indikatoren aktuell_10 - 24.xlsx]Strom!PivotTable1</c:name>
    <c:fmtId val="0"/>
  </c:pivotSource>
  <c:chart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tx1">
              <a:lumMod val="85000"/>
              <a:lumOff val="15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Strom!$B$4:$B$5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Strom!$A$6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Strom!$B$6</c:f>
              <c:numCache>
                <c:formatCode>0</c:formatCode>
                <c:ptCount val="1"/>
                <c:pt idx="0">
                  <c:v>23580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71-45AF-93BD-7E21436741AB}"/>
            </c:ext>
          </c:extLst>
        </c:ser>
        <c:ser>
          <c:idx val="1"/>
          <c:order val="1"/>
          <c:tx>
            <c:strRef>
              <c:f>Strom!$C$4:$C$5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Strom!$A$6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Strom!$C$6</c:f>
              <c:numCache>
                <c:formatCode>0</c:formatCode>
                <c:ptCount val="1"/>
                <c:pt idx="0">
                  <c:v>24503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71-45AF-93BD-7E21436741AB}"/>
            </c:ext>
          </c:extLst>
        </c:ser>
        <c:ser>
          <c:idx val="2"/>
          <c:order val="2"/>
          <c:tx>
            <c:strRef>
              <c:f>Strom!$D$4:$D$5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Strom!$A$6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Strom!$D$6</c:f>
              <c:numCache>
                <c:formatCode>0</c:formatCode>
                <c:ptCount val="1"/>
                <c:pt idx="0">
                  <c:v>25952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71-45AF-93BD-7E21436741AB}"/>
            </c:ext>
          </c:extLst>
        </c:ser>
        <c:ser>
          <c:idx val="3"/>
          <c:order val="3"/>
          <c:tx>
            <c:strRef>
              <c:f>Strom!$E$4:$E$5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Strom!$A$6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Strom!$E$6</c:f>
              <c:numCache>
                <c:formatCode>0</c:formatCode>
                <c:ptCount val="1"/>
                <c:pt idx="0">
                  <c:v>23309.333333333336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71-45AF-93BD-7E2143674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3599055"/>
        <c:axId val="713595695"/>
      </c:barChart>
      <c:catAx>
        <c:axId val="71359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13595695"/>
        <c:crosses val="autoZero"/>
        <c:auto val="1"/>
        <c:lblAlgn val="ctr"/>
        <c:lblOffset val="100"/>
        <c:noMultiLvlLbl val="0"/>
      </c:catAx>
      <c:valAx>
        <c:axId val="713595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13599055"/>
        <c:crosses val="autoZero"/>
        <c:crossBetween val="between"/>
        <c:majorUnit val="2000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[Verbrauch indikatoren aktuell_10 - 24.xlsx]Strom!PivotTable2</c:name>
    <c:fmtId val="1"/>
  </c:pivotSource>
  <c:chart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Strom!$B$22:$B$23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Strom!$A$24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Strom!$B$24</c:f>
              <c:numCache>
                <c:formatCode>0.00</c:formatCode>
                <c:ptCount val="1"/>
                <c:pt idx="0">
                  <c:v>1965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BE-4F79-8AB7-F124185A8779}"/>
            </c:ext>
          </c:extLst>
        </c:ser>
        <c:ser>
          <c:idx val="1"/>
          <c:order val="1"/>
          <c:tx>
            <c:strRef>
              <c:f>Strom!$C$22:$C$23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Strom!$A$24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Strom!$C$24</c:f>
              <c:numCache>
                <c:formatCode>0.00</c:formatCode>
                <c:ptCount val="1"/>
                <c:pt idx="0">
                  <c:v>2041.9166666666667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BE-4F79-8AB7-F124185A8779}"/>
            </c:ext>
          </c:extLst>
        </c:ser>
        <c:ser>
          <c:idx val="2"/>
          <c:order val="2"/>
          <c:tx>
            <c:strRef>
              <c:f>Strom!$D$22:$D$23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Strom!$A$24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Strom!$D$24</c:f>
              <c:numCache>
                <c:formatCode>0.00</c:formatCode>
                <c:ptCount val="1"/>
                <c:pt idx="0">
                  <c:v>2162.6666666666665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BE-4F79-8AB7-F124185A8779}"/>
            </c:ext>
          </c:extLst>
        </c:ser>
        <c:ser>
          <c:idx val="3"/>
          <c:order val="3"/>
          <c:tx>
            <c:strRef>
              <c:f>Strom!$E$22:$E$23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Strom!$A$24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Strom!$E$24</c:f>
              <c:numCache>
                <c:formatCode>0.00</c:formatCode>
                <c:ptCount val="1"/>
                <c:pt idx="0">
                  <c:v>1942.4444444444446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BE-4F79-8AB7-F124185A87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6318864"/>
        <c:axId val="986317424"/>
      </c:barChart>
      <c:catAx>
        <c:axId val="98631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86317424"/>
        <c:crosses val="autoZero"/>
        <c:auto val="1"/>
        <c:lblAlgn val="ctr"/>
        <c:lblOffset val="100"/>
        <c:noMultiLvlLbl val="0"/>
      </c:catAx>
      <c:valAx>
        <c:axId val="98631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86318864"/>
        <c:crosses val="autoZero"/>
        <c:crossBetween val="between"/>
        <c:majorUnit val="200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[Verbrauch indikatoren aktuell_10 - 24.xlsx]Strom!PivotTable3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rgbClr val="C00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Strom!$B$40:$B$41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BAC-47BA-815E-B61DA827175C}"/>
              </c:ext>
            </c:extLst>
          </c:dPt>
          <c:cat>
            <c:strRef>
              <c:f>Strom!$A$42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Strom!$B$42</c:f>
              <c:numCache>
                <c:formatCode>0.0</c:formatCode>
                <c:ptCount val="1"/>
                <c:pt idx="0">
                  <c:v>38.311867482647166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AC-47BA-815E-B61DA827175C}"/>
            </c:ext>
          </c:extLst>
        </c:ser>
        <c:ser>
          <c:idx val="1"/>
          <c:order val="1"/>
          <c:tx>
            <c:strRef>
              <c:f>Strom!$C$40:$C$41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Strom!$A$42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Strom!$C$42</c:f>
              <c:numCache>
                <c:formatCode>0.0</c:formatCode>
                <c:ptCount val="1"/>
                <c:pt idx="0">
                  <c:v>37.125757575757582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AC-47BA-815E-B61DA827175C}"/>
            </c:ext>
          </c:extLst>
        </c:ser>
        <c:ser>
          <c:idx val="2"/>
          <c:order val="2"/>
          <c:tx>
            <c:strRef>
              <c:f>Strom!$D$40:$D$41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Strom!$A$42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Strom!$D$42</c:f>
              <c:numCache>
                <c:formatCode>0.0</c:formatCode>
                <c:ptCount val="1"/>
                <c:pt idx="0">
                  <c:v>36.655367231638415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AC-47BA-815E-B61DA827175C}"/>
            </c:ext>
          </c:extLst>
        </c:ser>
        <c:ser>
          <c:idx val="3"/>
          <c:order val="3"/>
          <c:tx>
            <c:strRef>
              <c:f>Strom!$E$40:$E$41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Strom!$A$42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Strom!$E$42</c:f>
              <c:numCache>
                <c:formatCode>0.0</c:formatCode>
                <c:ptCount val="1"/>
                <c:pt idx="0">
                  <c:v>29.430976430976433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AC-47BA-815E-B61DA8271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4192656"/>
        <c:axId val="334149120"/>
      </c:barChart>
      <c:catAx>
        <c:axId val="874192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34149120"/>
        <c:crosses val="autoZero"/>
        <c:auto val="1"/>
        <c:lblAlgn val="ctr"/>
        <c:lblOffset val="100"/>
        <c:noMultiLvlLbl val="0"/>
      </c:catAx>
      <c:valAx>
        <c:axId val="33414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74192656"/>
        <c:crosses val="autoZero"/>
        <c:crossBetween val="between"/>
        <c:majorUnit val="10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[Verbrauch indikatoren aktuell_10 - 24.xlsx]CO2!PivotTable6</c:name>
    <c:fmtId val="0"/>
  </c:pivotSource>
  <c:chart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'CO2'!$B$4:$B$5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'CO2'!$A$6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'CO2'!$B$6</c:f>
              <c:numCache>
                <c:formatCode>0</c:formatCode>
                <c:ptCount val="1"/>
                <c:pt idx="0">
                  <c:v>29814.819000000003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9D-4FBC-9FC7-03FF0E979787}"/>
            </c:ext>
          </c:extLst>
        </c:ser>
        <c:ser>
          <c:idx val="1"/>
          <c:order val="1"/>
          <c:tx>
            <c:strRef>
              <c:f>'CO2'!$C$4:$C$5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'CO2'!$A$6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'CO2'!$C$6</c:f>
              <c:numCache>
                <c:formatCode>0</c:formatCode>
                <c:ptCount val="1"/>
                <c:pt idx="0">
                  <c:v>49038.770000000004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9D-4FBC-9FC7-03FF0E979787}"/>
            </c:ext>
          </c:extLst>
        </c:ser>
        <c:ser>
          <c:idx val="2"/>
          <c:order val="2"/>
          <c:tx>
            <c:strRef>
              <c:f>'CO2'!$D$4:$D$5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'CO2'!$A$6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'CO2'!$D$6</c:f>
              <c:numCache>
                <c:formatCode>0</c:formatCode>
                <c:ptCount val="1"/>
                <c:pt idx="0">
                  <c:v>60024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9D-4FBC-9FC7-03FF0E979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1952784"/>
        <c:axId val="231932144"/>
      </c:barChart>
      <c:catAx>
        <c:axId val="23195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31932144"/>
        <c:crosses val="autoZero"/>
        <c:auto val="1"/>
        <c:lblAlgn val="ctr"/>
        <c:lblOffset val="100"/>
        <c:noMultiLvlLbl val="0"/>
      </c:catAx>
      <c:valAx>
        <c:axId val="23193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kg</a:t>
                </a:r>
                <a:r>
                  <a:rPr lang="de-DE" baseline="0"/>
                  <a:t> CO2 - eqi.</a:t>
                </a:r>
                <a:endParaRPr lang="de-DE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3195278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[Verbrauch indikatoren aktuell_10 - 24.xlsx]CO2!PivotTable7</c:name>
    <c:fmtId val="0"/>
  </c:pivotSource>
  <c:chart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'CO2'!$B$21:$B$22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'CO2'!$A$23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'CO2'!$B$23</c:f>
              <c:numCache>
                <c:formatCode>0</c:formatCode>
                <c:ptCount val="1"/>
                <c:pt idx="0">
                  <c:v>2484.5682500000003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42-4934-A1F4-9D05C12DCE5D}"/>
            </c:ext>
          </c:extLst>
        </c:ser>
        <c:ser>
          <c:idx val="1"/>
          <c:order val="1"/>
          <c:tx>
            <c:strRef>
              <c:f>'CO2'!$C$21:$C$22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'CO2'!$A$23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'CO2'!$C$23</c:f>
              <c:numCache>
                <c:formatCode>0</c:formatCode>
                <c:ptCount val="1"/>
                <c:pt idx="0">
                  <c:v>4086.564166666667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42-4934-A1F4-9D05C12DCE5D}"/>
            </c:ext>
          </c:extLst>
        </c:ser>
        <c:ser>
          <c:idx val="2"/>
          <c:order val="2"/>
          <c:tx>
            <c:strRef>
              <c:f>'CO2'!$D$21:$D$22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'CO2'!$A$23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'CO2'!$D$23</c:f>
              <c:numCache>
                <c:formatCode>0</c:formatCode>
                <c:ptCount val="1"/>
                <c:pt idx="0">
                  <c:v>5002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42-4934-A1F4-9D05C12DC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6196031"/>
        <c:axId val="1746196511"/>
      </c:barChart>
      <c:catAx>
        <c:axId val="174619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46196511"/>
        <c:crosses val="autoZero"/>
        <c:auto val="1"/>
        <c:lblAlgn val="ctr"/>
        <c:lblOffset val="100"/>
        <c:noMultiLvlLbl val="0"/>
      </c:catAx>
      <c:valAx>
        <c:axId val="1746196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kg CO2 - eqi.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4619603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[Verbrauch indikatoren aktuell_10 - 24.xlsx]CO2!PivotTable8</c:name>
    <c:fmtId val="0"/>
  </c:pivotSource>
  <c:chart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'CO2'!$B$39:$B$40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'CO2'!$A$41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'CO2'!$B$41</c:f>
              <c:numCache>
                <c:formatCode>0.00</c:formatCode>
                <c:ptCount val="1"/>
                <c:pt idx="0">
                  <c:v>4.2855911950764645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B6-45A8-AA8B-35C2ABD41EFF}"/>
            </c:ext>
          </c:extLst>
        </c:ser>
        <c:ser>
          <c:idx val="1"/>
          <c:order val="1"/>
          <c:tx>
            <c:strRef>
              <c:f>'CO2'!$C$39:$C$40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'CO2'!$A$41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'CO2'!$C$41</c:f>
              <c:numCache>
                <c:formatCode>0.00</c:formatCode>
                <c:ptCount val="1"/>
                <c:pt idx="0">
                  <c:v>7.4849939961600791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B6-45A8-AA8B-35C2ABD41EFF}"/>
            </c:ext>
          </c:extLst>
        </c:ser>
        <c:ser>
          <c:idx val="2"/>
          <c:order val="2"/>
          <c:tx>
            <c:strRef>
              <c:f>'CO2'!$D$39:$D$40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'CO2'!$A$41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'CO2'!$D$41</c:f>
              <c:numCache>
                <c:formatCode>0.00</c:formatCode>
                <c:ptCount val="1"/>
                <c:pt idx="0">
                  <c:v>7.5774433359862448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B6-45A8-AA8B-35C2ABD41E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0420592"/>
        <c:axId val="870422512"/>
      </c:barChart>
      <c:catAx>
        <c:axId val="87042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70422512"/>
        <c:crosses val="autoZero"/>
        <c:auto val="1"/>
        <c:lblAlgn val="ctr"/>
        <c:lblOffset val="100"/>
        <c:noMultiLvlLbl val="0"/>
      </c:catAx>
      <c:valAx>
        <c:axId val="87042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 dirty="0">
                    <a:solidFill>
                      <a:srgbClr val="1D1E1C">
                        <a:lumMod val="65000"/>
                        <a:lumOff val="35000"/>
                      </a:srgbClr>
                    </a:solidFill>
                  </a:rPr>
                  <a:t>CO</a:t>
                </a:r>
                <a:r>
                  <a:rPr lang="en-US" sz="1000" b="1" i="1" u="none" strike="noStrike" kern="1200" baseline="0" dirty="0">
                    <a:solidFill>
                      <a:srgbClr val="1D1E1C">
                        <a:lumMod val="65000"/>
                        <a:lumOff val="35000"/>
                      </a:srgbClr>
                    </a:solidFill>
                  </a:rPr>
                  <a:t>2</a:t>
                </a:r>
                <a:r>
                  <a:rPr lang="en-US" sz="1000" b="0" i="0" u="none" strike="noStrike" kern="1200" baseline="0" dirty="0">
                    <a:solidFill>
                      <a:srgbClr val="1D1E1C">
                        <a:lumMod val="65000"/>
                        <a:lumOff val="35000"/>
                      </a:srgbClr>
                    </a:solidFill>
                  </a:rPr>
                  <a:t> (kg)-</a:t>
                </a:r>
                <a:r>
                  <a:rPr lang="en-US" sz="1000" b="0" i="0" u="none" strike="noStrike" kern="1200" baseline="0" dirty="0" err="1">
                    <a:solidFill>
                      <a:srgbClr val="1D1E1C">
                        <a:lumMod val="65000"/>
                        <a:lumOff val="35000"/>
                      </a:srgbClr>
                    </a:solidFill>
                  </a:rPr>
                  <a:t>eqi</a:t>
                </a:r>
                <a:r>
                  <a:rPr lang="en-US" sz="1000" b="0" i="0" u="none" strike="noStrike" kern="1200" baseline="0" dirty="0">
                    <a:solidFill>
                      <a:srgbClr val="1D1E1C">
                        <a:lumMod val="65000"/>
                        <a:lumOff val="35000"/>
                      </a:srgbClr>
                    </a:solidFill>
                  </a:rPr>
                  <a:t>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70420592"/>
        <c:crosses val="autoZero"/>
        <c:crossBetween val="between"/>
        <c:majorUnit val="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[Verbrauch indikatoren aktuell_10 - 24.xlsx]Water!PivotTable9</c:name>
    <c:fmtId val="0"/>
  </c:pivotSource>
  <c:chart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Water!$B$1:$B$2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Water!$A$3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Water!$B$3</c:f>
              <c:numCache>
                <c:formatCode>0.0</c:formatCode>
                <c:ptCount val="1"/>
                <c:pt idx="0">
                  <c:v>121.73999999999998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0B-43A6-BF50-09A6BF23AC8D}"/>
            </c:ext>
          </c:extLst>
        </c:ser>
        <c:ser>
          <c:idx val="1"/>
          <c:order val="1"/>
          <c:tx>
            <c:strRef>
              <c:f>Water!$C$1:$C$2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Water!$A$3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Water!$C$3</c:f>
              <c:numCache>
                <c:formatCode>0.0</c:formatCode>
                <c:ptCount val="1"/>
                <c:pt idx="0">
                  <c:v>123.31000000000003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0B-43A6-BF50-09A6BF23AC8D}"/>
            </c:ext>
          </c:extLst>
        </c:ser>
        <c:ser>
          <c:idx val="2"/>
          <c:order val="2"/>
          <c:tx>
            <c:strRef>
              <c:f>Water!$D$1:$D$2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Water!$A$3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Water!$D$3</c:f>
              <c:numCache>
                <c:formatCode>0.0</c:formatCode>
                <c:ptCount val="1"/>
                <c:pt idx="0">
                  <c:v>138.75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0B-43A6-BF50-09A6BF23AC8D}"/>
            </c:ext>
          </c:extLst>
        </c:ser>
        <c:ser>
          <c:idx val="3"/>
          <c:order val="3"/>
          <c:tx>
            <c:strRef>
              <c:f>Water!$E$1:$E$2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Water!$A$3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Water!$E$3</c:f>
              <c:numCache>
                <c:formatCode>0.0</c:formatCode>
                <c:ptCount val="1"/>
                <c:pt idx="0">
                  <c:v>143.6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0B-43A6-BF50-09A6BF23A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0082607"/>
        <c:axId val="1760079247"/>
      </c:barChart>
      <c:catAx>
        <c:axId val="1760082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60079247"/>
        <c:crosses val="autoZero"/>
        <c:auto val="1"/>
        <c:lblAlgn val="ctr"/>
        <c:lblOffset val="100"/>
        <c:noMultiLvlLbl val="0"/>
      </c:catAx>
      <c:valAx>
        <c:axId val="176007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000" b="0" i="0" u="none" strike="noStrike" baseline="0">
                    <a:effectLst/>
                  </a:rPr>
                  <a:t>m</a:t>
                </a:r>
                <a:r>
                  <a:rPr lang="de-DE" sz="1000" b="0" i="0" u="none" strike="noStrike" baseline="30000">
                    <a:effectLst/>
                  </a:rPr>
                  <a:t>3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60082607"/>
        <c:crosses val="autoZero"/>
        <c:crossBetween val="between"/>
        <c:majorUnit val="20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[Verbrauch indikatoren aktuell_10 - 24.xlsx]Water!PivotTable10</c:name>
    <c:fmtId val="0"/>
  </c:pivotSource>
  <c:chart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Water!$B$23:$B$24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Water!$A$25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Water!$B$25</c:f>
              <c:numCache>
                <c:formatCode>0.0</c:formatCode>
                <c:ptCount val="1"/>
                <c:pt idx="0">
                  <c:v>10.144999999999998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27-4321-8979-C137D700219D}"/>
            </c:ext>
          </c:extLst>
        </c:ser>
        <c:ser>
          <c:idx val="1"/>
          <c:order val="1"/>
          <c:tx>
            <c:strRef>
              <c:f>Water!$C$23:$C$24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Water!$A$25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Water!$C$25</c:f>
              <c:numCache>
                <c:formatCode>0.0</c:formatCode>
                <c:ptCount val="1"/>
                <c:pt idx="0">
                  <c:v>10.275833333333336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27-4321-8979-C137D700219D}"/>
            </c:ext>
          </c:extLst>
        </c:ser>
        <c:ser>
          <c:idx val="2"/>
          <c:order val="2"/>
          <c:tx>
            <c:strRef>
              <c:f>Water!$D$23:$D$24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Water!$A$25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Water!$D$25</c:f>
              <c:numCache>
                <c:formatCode>0.0</c:formatCode>
                <c:ptCount val="1"/>
                <c:pt idx="0">
                  <c:v>11.5625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27-4321-8979-C137D700219D}"/>
            </c:ext>
          </c:extLst>
        </c:ser>
        <c:ser>
          <c:idx val="3"/>
          <c:order val="3"/>
          <c:tx>
            <c:strRef>
              <c:f>Water!$E$23:$E$24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Water!$A$25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Water!$E$25</c:f>
              <c:numCache>
                <c:formatCode>0.0</c:formatCode>
                <c:ptCount val="1"/>
                <c:pt idx="0">
                  <c:v>11.966666666666667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27-4321-8979-C137D70021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34151040"/>
        <c:axId val="334149600"/>
      </c:barChart>
      <c:catAx>
        <c:axId val="33415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34149600"/>
        <c:crosses val="autoZero"/>
        <c:auto val="1"/>
        <c:lblAlgn val="ctr"/>
        <c:lblOffset val="100"/>
        <c:noMultiLvlLbl val="0"/>
      </c:catAx>
      <c:valAx>
        <c:axId val="33414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000" b="0" i="0" u="none" strike="noStrike" baseline="0">
                    <a:effectLst/>
                  </a:rPr>
                  <a:t>m</a:t>
                </a:r>
                <a:r>
                  <a:rPr lang="de-DE" sz="1000" b="0" i="0" u="none" strike="noStrike" baseline="30000">
                    <a:effectLst/>
                  </a:rPr>
                  <a:t>3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34151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[Verbrauch indikatoren aktuell_10 - 24.xlsx]Water!PivotTable11</c:name>
    <c:fmtId val="0"/>
  </c:pivotSource>
  <c:chart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Water!$B$40:$B$41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Water!$A$42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Water!$B$42</c:f>
              <c:numCache>
                <c:formatCode>0.000</c:formatCode>
                <c:ptCount val="1"/>
                <c:pt idx="0">
                  <c:v>0.19710909765273135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5E-4C03-895F-4A0ABF64CD5A}"/>
            </c:ext>
          </c:extLst>
        </c:ser>
        <c:ser>
          <c:idx val="1"/>
          <c:order val="1"/>
          <c:tx>
            <c:strRef>
              <c:f>Water!$C$40:$C$41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Water!$A$42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Water!$C$42</c:f>
              <c:numCache>
                <c:formatCode>0.000</c:formatCode>
                <c:ptCount val="1"/>
                <c:pt idx="0">
                  <c:v>0.18683333333333332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5E-4C03-895F-4A0ABF64CD5A}"/>
            </c:ext>
          </c:extLst>
        </c:ser>
        <c:ser>
          <c:idx val="2"/>
          <c:order val="2"/>
          <c:tx>
            <c:strRef>
              <c:f>Water!$D$40:$D$41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Water!$A$42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Water!$D$42</c:f>
              <c:numCache>
                <c:formatCode>0.000</c:formatCode>
                <c:ptCount val="1"/>
                <c:pt idx="0">
                  <c:v>0.19597457627118642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5E-4C03-895F-4A0ABF64CD5A}"/>
            </c:ext>
          </c:extLst>
        </c:ser>
        <c:ser>
          <c:idx val="3"/>
          <c:order val="3"/>
          <c:tx>
            <c:strRef>
              <c:f>Water!$E$40:$E$41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Water!$A$42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Water!$E$42</c:f>
              <c:numCache>
                <c:formatCode>0.000</c:formatCode>
                <c:ptCount val="1"/>
                <c:pt idx="0">
                  <c:v>0.18131313131313129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5E-4C03-895F-4A0ABF64C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6019503"/>
        <c:axId val="776018543"/>
      </c:barChart>
      <c:catAx>
        <c:axId val="77601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76018543"/>
        <c:crosses val="autoZero"/>
        <c:auto val="1"/>
        <c:lblAlgn val="ctr"/>
        <c:lblOffset val="100"/>
        <c:noMultiLvlLbl val="0"/>
      </c:catAx>
      <c:valAx>
        <c:axId val="776018543"/>
        <c:scaling>
          <c:orientation val="minMax"/>
          <c:min val="0.120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m</a:t>
                </a:r>
                <a:r>
                  <a:rPr lang="de-DE" sz="1000" b="0" i="0" u="none" strike="noStrike" kern="1200" baseline="30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3</a:t>
                </a:r>
                <a:endParaRPr lang="de-DE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76019503"/>
        <c:crosses val="autoZero"/>
        <c:crossBetween val="between"/>
        <c:majorUnit val="2.0000000000000004E-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819150</xdr:colOff>
      <xdr:row>0</xdr:row>
      <xdr:rowOff>160337</xdr:rowOff>
    </xdr:from>
    <xdr:to>
      <xdr:col>13</xdr:col>
      <xdr:colOff>295275</xdr:colOff>
      <xdr:row>16</xdr:row>
      <xdr:rowOff>1587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00C007-DFC7-B688-EFC9-6B6C2C8B5E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</xdr:colOff>
      <xdr:row>19</xdr:row>
      <xdr:rowOff>1587</xdr:rowOff>
    </xdr:from>
    <xdr:to>
      <xdr:col>13</xdr:col>
      <xdr:colOff>311150</xdr:colOff>
      <xdr:row>34</xdr:row>
      <xdr:rowOff>20637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C129EC-F2BA-D71A-0AB8-22017EC356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742950</xdr:colOff>
      <xdr:row>38</xdr:row>
      <xdr:rowOff>17462</xdr:rowOff>
    </xdr:from>
    <xdr:to>
      <xdr:col>13</xdr:col>
      <xdr:colOff>295275</xdr:colOff>
      <xdr:row>53</xdr:row>
      <xdr:rowOff>39687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A605855-252E-F67F-A8AF-1F0957F6E7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9526</xdr:colOff>
      <xdr:row>3</xdr:row>
      <xdr:rowOff>1587</xdr:rowOff>
    </xdr:from>
    <xdr:to>
      <xdr:col>13</xdr:col>
      <xdr:colOff>9526</xdr:colOff>
      <xdr:row>17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0DF29B-7A2A-450F-9FB5-B2D984443F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21</xdr:row>
      <xdr:rowOff>1587</xdr:rowOff>
    </xdr:from>
    <xdr:to>
      <xdr:col>12</xdr:col>
      <xdr:colOff>571500</xdr:colOff>
      <xdr:row>35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9A420E3-8EB0-48B0-DA63-CB97F6691D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9525</xdr:colOff>
      <xdr:row>39</xdr:row>
      <xdr:rowOff>11112</xdr:rowOff>
    </xdr:from>
    <xdr:to>
      <xdr:col>12</xdr:col>
      <xdr:colOff>590550</xdr:colOff>
      <xdr:row>52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B92DAD5-A95B-C8AC-70E2-6779673CAC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828674</xdr:colOff>
      <xdr:row>3</xdr:row>
      <xdr:rowOff>1587</xdr:rowOff>
    </xdr:from>
    <xdr:to>
      <xdr:col>11</xdr:col>
      <xdr:colOff>476250</xdr:colOff>
      <xdr:row>18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7A802E-AE73-62D5-AA44-4A9AAC63B5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19050</xdr:colOff>
      <xdr:row>20</xdr:row>
      <xdr:rowOff>20637</xdr:rowOff>
    </xdr:from>
    <xdr:to>
      <xdr:col>12</xdr:col>
      <xdr:colOff>311150</xdr:colOff>
      <xdr:row>35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D293518-A3AF-4C37-D2F7-AECD527B97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9525</xdr:colOff>
      <xdr:row>37</xdr:row>
      <xdr:rowOff>179387</xdr:rowOff>
    </xdr:from>
    <xdr:to>
      <xdr:col>12</xdr:col>
      <xdr:colOff>314325</xdr:colOff>
      <xdr:row>53</xdr:row>
      <xdr:rowOff>36512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FEE7576-4E2F-A350-0318-A93C70F280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749300</xdr:colOff>
      <xdr:row>0</xdr:row>
      <xdr:rowOff>163512</xdr:rowOff>
    </xdr:from>
    <xdr:to>
      <xdr:col>13</xdr:col>
      <xdr:colOff>304800</xdr:colOff>
      <xdr:row>16</xdr:row>
      <xdr:rowOff>17462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E0E1F3-46E5-C0F0-23C4-B446F312BB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739775</xdr:colOff>
      <xdr:row>21</xdr:row>
      <xdr:rowOff>153987</xdr:rowOff>
    </xdr:from>
    <xdr:to>
      <xdr:col>13</xdr:col>
      <xdr:colOff>295275</xdr:colOff>
      <xdr:row>37</xdr:row>
      <xdr:rowOff>7937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2218C9-8A2E-AB3F-CD23-AC3BF80974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1587</xdr:colOff>
      <xdr:row>38</xdr:row>
      <xdr:rowOff>163512</xdr:rowOff>
    </xdr:from>
    <xdr:to>
      <xdr:col>13</xdr:col>
      <xdr:colOff>312737</xdr:colOff>
      <xdr:row>54</xdr:row>
      <xdr:rowOff>17462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366D031-2B13-7CFD-8B05-0AC143B373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ollaender, Kai" refreshedDate="45630.706186342592" createdVersion="8" refreshedVersion="8" minRefreshableVersion="3" recordCount="48">
  <cacheSource type="worksheet">
    <worksheetSource ref="A1:K49" sheet="Base Data"/>
  </cacheSource>
  <cacheFields count="11">
    <cacheField name="Monat" numFmtId="0">
      <sharedItems/>
    </cacheField>
    <cacheField name="Jahr " numFmtId="0">
      <sharedItems containsSemiMixedTypes="0" containsString="0" containsNumber="1" containsInteger="1" minValue="2021" maxValue="2024" count="4">
        <n v="2021"/>
        <n v="2022"/>
        <n v="2023"/>
        <n v="2024"/>
      </sharedItems>
    </cacheField>
    <cacheField name="Anzahl _x000a_Mitarbeiter (Durchschnitt)" numFmtId="0">
      <sharedItems containsSemiMixedTypes="0" containsString="0" containsNumber="1" minValue="46.6" maxValue="66"/>
    </cacheField>
    <cacheField name="Zählerstand 1 _x000a_( 68581029 )" numFmtId="0">
      <sharedItems containsString="0" containsBlank="1" containsNumber="1" containsInteger="1" minValue="25272" maxValue="73908"/>
    </cacheField>
    <cacheField name="Zählerstand 2 _x000a_(68581026)" numFmtId="0">
      <sharedItems containsString="0" containsBlank="1" containsNumber="1" containsInteger="1" minValue="14829" maxValue="30808"/>
    </cacheField>
    <cacheField name="Zählerstand _x000a_(68580984)" numFmtId="0">
      <sharedItems containsString="0" containsBlank="1" containsNumber="1" containsInteger="1" minValue="24356" maxValue="51258"/>
    </cacheField>
    <cacheField name="Verbrauch_x000a_Zählerstand 1 _x000a_( 68581029 )" numFmtId="3">
      <sharedItems containsSemiMixedTypes="0" containsString="0" containsNumber="1" minValue="842" maxValue="1401"/>
    </cacheField>
    <cacheField name="Verbrauch_x000a_Zählerstand 2 _x000a_(68581026)" numFmtId="3">
      <sharedItems containsSemiMixedTypes="0" containsString="0" containsNumber="1" containsInteger="1" minValue="235" maxValue="514"/>
    </cacheField>
    <cacheField name="Verbrauch_x000a_Zählerstand _x000a_(68580984)" numFmtId="3">
      <sharedItems containsSemiMixedTypes="0" containsString="0" containsNumber="1" minValue="422" maxValue="841"/>
    </cacheField>
    <cacheField name="Strom Gesamt _x000a_(kWh)" numFmtId="2">
      <sharedItems containsSemiMixedTypes="0" containsString="0" containsNumber="1" minValue="1568" maxValue="2550"/>
    </cacheField>
    <cacheField name="Stromverbrauch pro Kopf/Monat" numFmtId="2">
      <sharedItems containsSemiMixedTypes="0" containsString="0" containsNumber="1" minValue="23.969696969696969" maxValue="44.5493562231759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ollaender, Kai" refreshedDate="45630.710186805554" createdVersion="8" refreshedVersion="8" minRefreshableVersion="3" recordCount="48">
  <cacheSource type="worksheet">
    <worksheetSource ref="A1:S49" sheet="Base Data"/>
  </cacheSource>
  <cacheFields count="19">
    <cacheField name="Monat" numFmtId="0">
      <sharedItems/>
    </cacheField>
    <cacheField name="Jahr " numFmtId="0">
      <sharedItems containsSemiMixedTypes="0" containsString="0" containsNumber="1" containsInteger="1" minValue="2021" maxValue="2024" count="4">
        <n v="2021"/>
        <n v="2022"/>
        <n v="2023"/>
        <n v="2024"/>
      </sharedItems>
    </cacheField>
    <cacheField name="Anzahl _x000a_Mitarbeiter (Durchschnitt)" numFmtId="0">
      <sharedItems containsSemiMixedTypes="0" containsString="0" containsNumber="1" minValue="46.6" maxValue="66"/>
    </cacheField>
    <cacheField name="Zählerstand 1 _x000a_( 68581029 )" numFmtId="0">
      <sharedItems containsString="0" containsBlank="1" containsNumber="1" containsInteger="1" minValue="25272" maxValue="73908"/>
    </cacheField>
    <cacheField name="Zählerstand 2 _x000a_(68581026)" numFmtId="0">
      <sharedItems containsString="0" containsBlank="1" containsNumber="1" containsInteger="1" minValue="14829" maxValue="30808"/>
    </cacheField>
    <cacheField name="Zählerstand _x000a_(68580984)" numFmtId="0">
      <sharedItems containsString="0" containsBlank="1" containsNumber="1" containsInteger="1" minValue="24356" maxValue="51258"/>
    </cacheField>
    <cacheField name="Verbrauch_x000a_Zählerstand 1 _x000a_( 68581029 )" numFmtId="3">
      <sharedItems containsSemiMixedTypes="0" containsString="0" containsNumber="1" minValue="842" maxValue="1401"/>
    </cacheField>
    <cacheField name="Verbrauch_x000a_Zählerstand 2 _x000a_(68581026)" numFmtId="3">
      <sharedItems containsSemiMixedTypes="0" containsString="0" containsNumber="1" containsInteger="1" minValue="235" maxValue="514"/>
    </cacheField>
    <cacheField name="Verbrauch_x000a_Zählerstand _x000a_(68580984)" numFmtId="3">
      <sharedItems containsSemiMixedTypes="0" containsString="0" containsNumber="1" minValue="422" maxValue="841"/>
    </cacheField>
    <cacheField name="Strom Gesamt _x000a_(kWh)" numFmtId="2">
      <sharedItems containsSemiMixedTypes="0" containsString="0" containsNumber="1" minValue="1568" maxValue="2550"/>
    </cacheField>
    <cacheField name="Stromverbrauch pro Kopf/Monat" numFmtId="2">
      <sharedItems containsSemiMixedTypes="0" containsString="0" containsNumber="1" minValue="23.969696969696969" maxValue="44.549356223175963"/>
    </cacheField>
    <cacheField name="Zählerstand 1_x000a_ (749814838)" numFmtId="0">
      <sharedItems containsString="0" containsBlank="1" containsNumber="1" minValue="103.85" maxValue="189.71"/>
    </cacheField>
    <cacheField name="Zählerstand 2 _x000a_(749814944)" numFmtId="0">
      <sharedItems containsString="0" containsBlank="1" containsNumber="1" minValue="129.63999999999999" maxValue="288.82"/>
    </cacheField>
    <cacheField name="Zählerstand _x000a_(749814890)" numFmtId="0">
      <sharedItems containsString="0" containsBlank="1" containsNumber="1" minValue="251.99" maxValue="498.45"/>
    </cacheField>
    <cacheField name="Verbrauch_x000a_Zählerstand 1_x000a_ (749814838)" numFmtId="0">
      <sharedItems containsSemiMixedTypes="0" containsString="0" containsNumber="1" minValue="1.2999999999999972" maxValue="2.8699999999999761"/>
    </cacheField>
    <cacheField name="Verbrauch_x000a_Zählerstand 2 _x000a_(749814944)" numFmtId="0">
      <sharedItems containsSemiMixedTypes="0" containsString="0" containsNumber="1" minValue="2.0699999999999932" maxValue="5.0200000000000102"/>
    </cacheField>
    <cacheField name="Verbrauch_x000a_Zählerstand _x000a_(749814890)" numFmtId="0">
      <sharedItems containsSemiMixedTypes="0" containsString="0" containsNumber="1" minValue="3.5799999999999841" maxValue="8"/>
    </cacheField>
    <cacheField name="Wasser _x000a_gesamt (Monat)" numFmtId="0">
      <sharedItems containsSemiMixedTypes="0" containsString="0" containsNumber="1" minValue="7.7499999999999858" maxValue="14.219999999999999"/>
    </cacheField>
    <cacheField name="Verbrauch/Kopf/Monat" numFmtId="164">
      <sharedItems containsSemiMixedTypes="0" containsString="0" containsNumber="1" minValue="0.13439393939393904" maxValue="0.26129629629629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Hollaender, Kai" refreshedDate="45630.719323958336" createdVersion="8" refreshedVersion="8" minRefreshableVersion="3" recordCount="36">
  <cacheSource type="worksheet">
    <worksheetSource ref="AC1:AG37" sheet="Base Data"/>
  </cacheSource>
  <cacheFields count="5">
    <cacheField name="Monat" numFmtId="0">
      <sharedItems/>
    </cacheField>
    <cacheField name="Jahr 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Anzahl _x000a_Mitarbeiter (Durchschnitt)" numFmtId="0">
      <sharedItems containsSemiMixedTypes="0" containsString="0" containsNumber="1" containsInteger="1" minValue="55" maxValue="66"/>
    </cacheField>
    <cacheField name="CO2 kg" numFmtId="2">
      <sharedItems containsSemiMixedTypes="0" containsString="0" containsNumber="1" minValue="0" maxValue="11702"/>
    </cacheField>
    <cacheField name="CO2 kg _x000a_Verbrauch/Kopf" numFmtId="0">
      <sharedItems containsSemiMixedTypes="0" containsString="0" containsNumber="1" minValue="0" maxValue="19.3741721854304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Hollaender, Kai" refreshedDate="45631.362926388887" createdVersion="8" refreshedVersion="8" minRefreshableVersion="3" recordCount="48">
  <cacheSource type="worksheet">
    <worksheetSource ref="A1:X49" sheet="Base Data"/>
  </cacheSource>
  <cacheFields count="24">
    <cacheField name="Monat" numFmtId="0">
      <sharedItems/>
    </cacheField>
    <cacheField name="Jahr " numFmtId="0">
      <sharedItems containsSemiMixedTypes="0" containsString="0" containsNumber="1" containsInteger="1" minValue="2021" maxValue="2024" count="4">
        <n v="2021"/>
        <n v="2022"/>
        <n v="2023"/>
        <n v="2024"/>
      </sharedItems>
    </cacheField>
    <cacheField name="Anzahl _x000a_Mitarbeiter (Durchschnitt)" numFmtId="0">
      <sharedItems containsSemiMixedTypes="0" containsString="0" containsNumber="1" minValue="46.6" maxValue="66"/>
    </cacheField>
    <cacheField name="Zählerstand 1 _x000a_( 68581029 )" numFmtId="0">
      <sharedItems containsString="0" containsBlank="1" containsNumber="1" containsInteger="1" minValue="25272" maxValue="73908"/>
    </cacheField>
    <cacheField name="Zählerstand 2 _x000a_(68581026)" numFmtId="0">
      <sharedItems containsString="0" containsBlank="1" containsNumber="1" containsInteger="1" minValue="14829" maxValue="30808"/>
    </cacheField>
    <cacheField name="Zählerstand _x000a_(68580984)" numFmtId="0">
      <sharedItems containsString="0" containsBlank="1" containsNumber="1" containsInteger="1" minValue="24356" maxValue="51258"/>
    </cacheField>
    <cacheField name="Verbrauch_x000a_Zählerstand 1 _x000a_( 68581029 )" numFmtId="3">
      <sharedItems containsSemiMixedTypes="0" containsString="0" containsNumber="1" minValue="842" maxValue="1401"/>
    </cacheField>
    <cacheField name="Verbrauch_x000a_Zählerstand 2 _x000a_(68581026)" numFmtId="3">
      <sharedItems containsSemiMixedTypes="0" containsString="0" containsNumber="1" containsInteger="1" minValue="235" maxValue="514"/>
    </cacheField>
    <cacheField name="Verbrauch_x000a_Zählerstand _x000a_(68580984)" numFmtId="3">
      <sharedItems containsSemiMixedTypes="0" containsString="0" containsNumber="1" minValue="422" maxValue="841"/>
    </cacheField>
    <cacheField name="Strom Gesamt _x000a_(kWh)" numFmtId="2">
      <sharedItems containsSemiMixedTypes="0" containsString="0" containsNumber="1" minValue="1568" maxValue="2550"/>
    </cacheField>
    <cacheField name="Stromverbrauch pro Kopf/Monat" numFmtId="2">
      <sharedItems containsSemiMixedTypes="0" containsString="0" containsNumber="1" minValue="23.969696969696969" maxValue="44.549356223175963"/>
    </cacheField>
    <cacheField name="Zählerstand 1_x000a_ (749814838)" numFmtId="0">
      <sharedItems containsString="0" containsBlank="1" containsNumber="1" minValue="103.85" maxValue="189.71"/>
    </cacheField>
    <cacheField name="Zählerstand 2 _x000a_(749814944)" numFmtId="0">
      <sharedItems containsString="0" containsBlank="1" containsNumber="1" minValue="129.63999999999999" maxValue="288.82"/>
    </cacheField>
    <cacheField name="Zählerstand _x000a_(749814890)" numFmtId="0">
      <sharedItems containsString="0" containsBlank="1" containsNumber="1" minValue="251.99" maxValue="498.45"/>
    </cacheField>
    <cacheField name="Verbrauch_x000a_Zählerstand 1_x000a_ (749814838)" numFmtId="0">
      <sharedItems containsSemiMixedTypes="0" containsString="0" containsNumber="1" minValue="1.2999999999999972" maxValue="2.8699999999999761"/>
    </cacheField>
    <cacheField name="Verbrauch_x000a_Zählerstand 2 _x000a_(749814944)" numFmtId="0">
      <sharedItems containsSemiMixedTypes="0" containsString="0" containsNumber="1" minValue="2.0699999999999932" maxValue="5.0200000000000102"/>
    </cacheField>
    <cacheField name="Verbrauch_x000a_Zählerstand _x000a_(749814890)" numFmtId="0">
      <sharedItems containsSemiMixedTypes="0" containsString="0" containsNumber="1" minValue="3.5799999999999841" maxValue="8"/>
    </cacheField>
    <cacheField name="Wasser _x000a_gesamt (Monat)" numFmtId="0">
      <sharedItems containsSemiMixedTypes="0" containsString="0" containsNumber="1" minValue="7.7499999999999858" maxValue="14.219999999999999"/>
    </cacheField>
    <cacheField name="Verbrauch/Kopf/Monat" numFmtId="0">
      <sharedItems containsSemiMixedTypes="0" containsString="0" containsNumber="1" minValue="0.13439393939393904" maxValue="0.2612962962962963"/>
    </cacheField>
    <cacheField name="Papier _x000a_Druck (Stand Ende des Monats)" numFmtId="0">
      <sharedItems containsString="0" containsBlank="1" containsNumber="1" containsInteger="1" minValue="11035" maxValue="420994"/>
    </cacheField>
    <cacheField name="Verbrauch Druck" numFmtId="0">
      <sharedItems containsString="0" containsBlank="1" containsNumber="1" minValue="3779" maxValue="10274"/>
    </cacheField>
    <cacheField name="Papier _x000a_Kopien (Stand Ende des Monats)" numFmtId="0">
      <sharedItems containsString="0" containsBlank="1" containsNumber="1" containsInteger="1" minValue="33946" maxValue="59254"/>
    </cacheField>
    <cacheField name="Verbrauch kopien" numFmtId="0">
      <sharedItems containsString="0" containsBlank="1" containsNumber="1" minValue="120" maxValue="1978"/>
    </cacheField>
    <cacheField name="Verbrauch total" numFmtId="0">
      <sharedItems containsSemiMixedTypes="0" containsString="0" containsNumber="1" minValue="4037" maxValue="122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Hollaender, Kai" refreshedDate="45631.366365393522" createdVersion="8" refreshedVersion="8" minRefreshableVersion="3" recordCount="48">
  <cacheSource type="worksheet">
    <worksheetSource ref="A1:Y49" sheet="Base Data"/>
  </cacheSource>
  <cacheFields count="25">
    <cacheField name="Monat" numFmtId="0">
      <sharedItems/>
    </cacheField>
    <cacheField name="Jahr " numFmtId="0">
      <sharedItems containsSemiMixedTypes="0" containsString="0" containsNumber="1" containsInteger="1" minValue="2021" maxValue="2024" count="4">
        <n v="2021"/>
        <n v="2022"/>
        <n v="2023"/>
        <n v="2024"/>
      </sharedItems>
    </cacheField>
    <cacheField name="Anzahl _x000a_Mitarbeiter (Durchschnitt)" numFmtId="0">
      <sharedItems containsSemiMixedTypes="0" containsString="0" containsNumber="1" minValue="46.6" maxValue="66"/>
    </cacheField>
    <cacheField name="Zählerstand 1 _x000a_( 68581029 )" numFmtId="0">
      <sharedItems containsString="0" containsBlank="1" containsNumber="1" containsInteger="1" minValue="25272" maxValue="73908"/>
    </cacheField>
    <cacheField name="Zählerstand 2 _x000a_(68581026)" numFmtId="0">
      <sharedItems containsString="0" containsBlank="1" containsNumber="1" containsInteger="1" minValue="14829" maxValue="30808"/>
    </cacheField>
    <cacheField name="Zählerstand _x000a_(68580984)" numFmtId="0">
      <sharedItems containsString="0" containsBlank="1" containsNumber="1" containsInteger="1" minValue="24356" maxValue="51258"/>
    </cacheField>
    <cacheField name="Verbrauch_x000a_Zählerstand 1 _x000a_( 68581029 )" numFmtId="3">
      <sharedItems containsSemiMixedTypes="0" containsString="0" containsNumber="1" minValue="842" maxValue="1401"/>
    </cacheField>
    <cacheField name="Verbrauch_x000a_Zählerstand 2 _x000a_(68581026)" numFmtId="3">
      <sharedItems containsSemiMixedTypes="0" containsString="0" containsNumber="1" containsInteger="1" minValue="235" maxValue="514"/>
    </cacheField>
    <cacheField name="Verbrauch_x000a_Zählerstand _x000a_(68580984)" numFmtId="3">
      <sharedItems containsSemiMixedTypes="0" containsString="0" containsNumber="1" minValue="422" maxValue="841"/>
    </cacheField>
    <cacheField name="Strom Gesamt _x000a_(kWh)" numFmtId="2">
      <sharedItems containsSemiMixedTypes="0" containsString="0" containsNumber="1" minValue="1568" maxValue="2550"/>
    </cacheField>
    <cacheField name="Stromverbrauch pro Kopf/Monat" numFmtId="2">
      <sharedItems containsSemiMixedTypes="0" containsString="0" containsNumber="1" minValue="23.969696969696969" maxValue="44.549356223175963"/>
    </cacheField>
    <cacheField name="Zählerstand 1_x000a_ (749814838)" numFmtId="0">
      <sharedItems containsString="0" containsBlank="1" containsNumber="1" minValue="103.85" maxValue="189.71"/>
    </cacheField>
    <cacheField name="Zählerstand 2 _x000a_(749814944)" numFmtId="0">
      <sharedItems containsString="0" containsBlank="1" containsNumber="1" minValue="129.63999999999999" maxValue="288.82"/>
    </cacheField>
    <cacheField name="Zählerstand _x000a_(749814890)" numFmtId="0">
      <sharedItems containsString="0" containsBlank="1" containsNumber="1" minValue="251.99" maxValue="498.45"/>
    </cacheField>
    <cacheField name="Verbrauch_x000a_Zählerstand 1_x000a_ (749814838)" numFmtId="0">
      <sharedItems containsSemiMixedTypes="0" containsString="0" containsNumber="1" minValue="1.2999999999999972" maxValue="2.8699999999999761"/>
    </cacheField>
    <cacheField name="Verbrauch_x000a_Zählerstand 2 _x000a_(749814944)" numFmtId="0">
      <sharedItems containsSemiMixedTypes="0" containsString="0" containsNumber="1" minValue="2.0699999999999932" maxValue="5.0200000000000102"/>
    </cacheField>
    <cacheField name="Verbrauch_x000a_Zählerstand _x000a_(749814890)" numFmtId="0">
      <sharedItems containsSemiMixedTypes="0" containsString="0" containsNumber="1" minValue="3.5799999999999841" maxValue="8"/>
    </cacheField>
    <cacheField name="Wasser _x000a_gesamt (Monat)" numFmtId="0">
      <sharedItems containsSemiMixedTypes="0" containsString="0" containsNumber="1" minValue="7.7499999999999858" maxValue="14.219999999999999"/>
    </cacheField>
    <cacheField name="Verbrauch/Kopf/Monat" numFmtId="0">
      <sharedItems containsSemiMixedTypes="0" containsString="0" containsNumber="1" minValue="0.13439393939393904" maxValue="0.2612962962962963"/>
    </cacheField>
    <cacheField name="Papier _x000a_Druck (Stand Ende des Monats)" numFmtId="0">
      <sharedItems containsString="0" containsBlank="1" containsNumber="1" containsInteger="1" minValue="11035" maxValue="420994"/>
    </cacheField>
    <cacheField name="Verbrauch Druck" numFmtId="0">
      <sharedItems containsString="0" containsBlank="1" containsNumber="1" minValue="3779" maxValue="10274"/>
    </cacheField>
    <cacheField name="Papier _x000a_Kopien (Stand Ende des Monats)" numFmtId="0">
      <sharedItems containsString="0" containsBlank="1" containsNumber="1" containsInteger="1" minValue="33946" maxValue="59254"/>
    </cacheField>
    <cacheField name="Verbrauch kopien" numFmtId="0">
      <sharedItems containsString="0" containsBlank="1" containsNumber="1" minValue="120" maxValue="1978"/>
    </cacheField>
    <cacheField name="Verbrauch total" numFmtId="0">
      <sharedItems containsSemiMixedTypes="0" containsString="0" containsNumber="1" minValue="4037" maxValue="12210"/>
    </cacheField>
    <cacheField name="Verbrauch/Kopf" numFmtId="3">
      <sharedItems containsSemiMixedTypes="0" containsString="0" containsNumber="1" minValue="73.400000000000006" maxValue="226.111111111111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s v="Januar"/>
    <x v="0"/>
    <n v="46.6"/>
    <n v="25272"/>
    <n v="14829"/>
    <n v="24356"/>
    <n v="1071"/>
    <n v="322"/>
    <n v="580"/>
    <n v="1973"/>
    <n v="42.339055793991413"/>
  </r>
  <r>
    <s v="Februar"/>
    <x v="0"/>
    <n v="46.6"/>
    <n v="26343"/>
    <n v="15151"/>
    <n v="24936"/>
    <n v="1128"/>
    <n v="321"/>
    <n v="627"/>
    <n v="2076"/>
    <n v="44.549356223175963"/>
  </r>
  <r>
    <s v="März"/>
    <x v="0"/>
    <n v="46.6"/>
    <n v="27471"/>
    <n v="15472"/>
    <n v="25563"/>
    <n v="1018"/>
    <n v="322"/>
    <n v="517"/>
    <n v="1857"/>
    <n v="39.849785407725321"/>
  </r>
  <r>
    <s v="April"/>
    <x v="0"/>
    <n v="46.6"/>
    <n v="28489"/>
    <n v="15794"/>
    <n v="26080"/>
    <n v="1054"/>
    <n v="314"/>
    <n v="573"/>
    <n v="1941"/>
    <n v="41.652360515021456"/>
  </r>
  <r>
    <s v="Mai "/>
    <x v="0"/>
    <n v="54"/>
    <n v="29543"/>
    <n v="16108"/>
    <n v="26653"/>
    <n v="957"/>
    <n v="274"/>
    <n v="488"/>
    <n v="1719"/>
    <n v="31.833333333333332"/>
  </r>
  <r>
    <s v="Juni"/>
    <x v="0"/>
    <n v="54"/>
    <n v="30500"/>
    <n v="16382"/>
    <n v="27141"/>
    <n v="1039"/>
    <n v="307"/>
    <n v="571"/>
    <n v="1917"/>
    <n v="35.5"/>
  </r>
  <r>
    <s v="Juli"/>
    <x v="0"/>
    <n v="54"/>
    <n v="31539"/>
    <n v="16689"/>
    <n v="27712"/>
    <n v="1118"/>
    <n v="392"/>
    <n v="702"/>
    <n v="2212"/>
    <n v="40.962962962962962"/>
  </r>
  <r>
    <s v="August"/>
    <x v="0"/>
    <n v="54"/>
    <n v="32657"/>
    <n v="17081"/>
    <n v="28414"/>
    <n v="967"/>
    <n v="299"/>
    <n v="523"/>
    <n v="1789"/>
    <n v="33.129629629629626"/>
  </r>
  <r>
    <s v="September"/>
    <x v="0"/>
    <n v="54"/>
    <n v="33624"/>
    <n v="17380"/>
    <n v="28937"/>
    <n v="1167"/>
    <n v="369"/>
    <n v="624"/>
    <n v="2160"/>
    <n v="40"/>
  </r>
  <r>
    <s v="Oktober"/>
    <x v="0"/>
    <n v="54"/>
    <n v="34791"/>
    <n v="17749"/>
    <n v="29561"/>
    <n v="1013"/>
    <n v="323"/>
    <n v="600"/>
    <n v="1936"/>
    <n v="35.851851851851855"/>
  </r>
  <r>
    <s v="November"/>
    <x v="0"/>
    <n v="54"/>
    <n v="35804"/>
    <n v="18072"/>
    <n v="30161"/>
    <n v="1069"/>
    <n v="289"/>
    <n v="577"/>
    <n v="1935"/>
    <n v="35.833333333333336"/>
  </r>
  <r>
    <s v="Dezember"/>
    <x v="0"/>
    <n v="54"/>
    <n v="36873"/>
    <n v="18361"/>
    <n v="30738"/>
    <n v="1106"/>
    <n v="352"/>
    <n v="607"/>
    <n v="2065"/>
    <n v="38.24074074074074"/>
  </r>
  <r>
    <s v="Januar"/>
    <x v="1"/>
    <n v="55"/>
    <n v="37979"/>
    <n v="18713"/>
    <n v="31345"/>
    <n v="1089"/>
    <n v="289"/>
    <n v="537"/>
    <n v="1915"/>
    <n v="34.81818181818182"/>
  </r>
  <r>
    <s v="Februar"/>
    <x v="1"/>
    <n v="55"/>
    <n v="39068"/>
    <n v="19002"/>
    <n v="31882"/>
    <n v="1117"/>
    <n v="326"/>
    <n v="616"/>
    <n v="2059"/>
    <n v="37.436363636363637"/>
  </r>
  <r>
    <s v="März"/>
    <x v="1"/>
    <n v="55"/>
    <n v="40185"/>
    <n v="19328"/>
    <n v="32498"/>
    <n v="877"/>
    <n v="235"/>
    <n v="456"/>
    <n v="1568"/>
    <n v="28.509090909090908"/>
  </r>
  <r>
    <s v="April"/>
    <x v="1"/>
    <n v="55"/>
    <n v="41062"/>
    <n v="19563"/>
    <n v="32954"/>
    <n v="954"/>
    <n v="259"/>
    <n v="538"/>
    <n v="1751"/>
    <n v="31.836363636363636"/>
  </r>
  <r>
    <s v="Mai "/>
    <x v="1"/>
    <n v="55"/>
    <n v="42016"/>
    <n v="19822"/>
    <n v="33492"/>
    <n v="982"/>
    <n v="282"/>
    <n v="527"/>
    <n v="1791"/>
    <n v="32.563636363636363"/>
  </r>
  <r>
    <s v="Juni"/>
    <x v="1"/>
    <n v="55"/>
    <n v="42998"/>
    <n v="20104"/>
    <n v="34019"/>
    <n v="1330"/>
    <n v="308"/>
    <n v="561"/>
    <n v="2199"/>
    <n v="39.981818181818184"/>
  </r>
  <r>
    <s v="Juli"/>
    <x v="1"/>
    <n v="55"/>
    <n v="44328"/>
    <n v="20412"/>
    <n v="34580"/>
    <n v="1316"/>
    <n v="287"/>
    <n v="572"/>
    <n v="2175"/>
    <n v="39.545454545454547"/>
  </r>
  <r>
    <s v="August"/>
    <x v="1"/>
    <n v="55"/>
    <n v="45644"/>
    <n v="20699"/>
    <n v="35152"/>
    <n v="1223"/>
    <n v="275"/>
    <n v="518"/>
    <n v="2016"/>
    <n v="36.654545454545456"/>
  </r>
  <r>
    <s v="September"/>
    <x v="1"/>
    <n v="55"/>
    <n v="46867"/>
    <n v="20974"/>
    <n v="35670"/>
    <n v="1401"/>
    <n v="328"/>
    <n v="583"/>
    <n v="2312"/>
    <n v="42.036363636363639"/>
  </r>
  <r>
    <s v="Oktober"/>
    <x v="1"/>
    <n v="55"/>
    <n v="48268"/>
    <n v="21302"/>
    <n v="36253"/>
    <n v="1312"/>
    <n v="443"/>
    <n v="607"/>
    <n v="2362"/>
    <n v="42.945454545454545"/>
  </r>
  <r>
    <s v="November"/>
    <x v="1"/>
    <n v="55"/>
    <n v="49580"/>
    <n v="21745"/>
    <n v="36860"/>
    <n v="1130"/>
    <n v="358"/>
    <n v="610"/>
    <n v="2098"/>
    <n v="38.145454545454548"/>
  </r>
  <r>
    <s v="Dezember"/>
    <x v="1"/>
    <n v="55"/>
    <n v="50710"/>
    <n v="22103"/>
    <n v="37470"/>
    <n v="1173"/>
    <n v="449"/>
    <n v="635"/>
    <n v="2257"/>
    <n v="41.036363636363639"/>
  </r>
  <r>
    <s v="Januar"/>
    <x v="2"/>
    <n v="59"/>
    <n v="51883"/>
    <n v="22552"/>
    <n v="38105"/>
    <n v="1127"/>
    <n v="367"/>
    <n v="530"/>
    <n v="2024"/>
    <n v="34.305084745762713"/>
  </r>
  <r>
    <s v="Februar"/>
    <x v="2"/>
    <n v="59"/>
    <n v="53010"/>
    <n v="22919"/>
    <n v="38635"/>
    <n v="1065"/>
    <n v="410"/>
    <n v="599"/>
    <n v="2074"/>
    <n v="35.152542372881356"/>
  </r>
  <r>
    <s v="März"/>
    <x v="2"/>
    <n v="59"/>
    <n v="54075"/>
    <n v="23329"/>
    <n v="39234"/>
    <n v="1047"/>
    <n v="330"/>
    <n v="583"/>
    <n v="1960"/>
    <n v="33.220338983050844"/>
  </r>
  <r>
    <s v="April"/>
    <x v="2"/>
    <n v="59"/>
    <n v="55122"/>
    <n v="23659"/>
    <n v="39817"/>
    <n v="1045"/>
    <n v="338"/>
    <n v="661"/>
    <n v="2044"/>
    <n v="34.644067796610166"/>
  </r>
  <r>
    <s v="Mai "/>
    <x v="2"/>
    <n v="59"/>
    <n v="56167"/>
    <n v="23997"/>
    <n v="40478"/>
    <n v="1038.5"/>
    <n v="362"/>
    <n v="694.5"/>
    <n v="2095"/>
    <n v="35.508474576271183"/>
  </r>
  <r>
    <s v="Juni"/>
    <x v="2"/>
    <n v="59"/>
    <m/>
    <m/>
    <m/>
    <n v="1038.5"/>
    <n v="362"/>
    <n v="694.5"/>
    <n v="2095"/>
    <n v="35.508474576271183"/>
  </r>
  <r>
    <s v="Juli"/>
    <x v="2"/>
    <n v="59"/>
    <n v="58244"/>
    <n v="24721"/>
    <n v="41867"/>
    <n v="1027"/>
    <n v="390"/>
    <n v="708"/>
    <n v="2125"/>
    <n v="36.016949152542374"/>
  </r>
  <r>
    <s v="August"/>
    <x v="2"/>
    <n v="59"/>
    <n v="59271"/>
    <n v="25111"/>
    <n v="42575"/>
    <n v="1042"/>
    <n v="387"/>
    <n v="760"/>
    <n v="2189"/>
    <n v="37.101694915254235"/>
  </r>
  <r>
    <s v="September"/>
    <x v="2"/>
    <n v="59"/>
    <n v="60313"/>
    <n v="25498"/>
    <n v="43335"/>
    <n v="1066"/>
    <n v="425"/>
    <n v="723"/>
    <n v="2214"/>
    <n v="37.525423728813557"/>
  </r>
  <r>
    <s v="Oktober"/>
    <x v="2"/>
    <n v="59"/>
    <n v="61379"/>
    <n v="25923"/>
    <n v="44058"/>
    <n v="1079"/>
    <n v="502"/>
    <n v="841"/>
    <n v="2422"/>
    <n v="41.050847457627121"/>
  </r>
  <r>
    <s v="November"/>
    <x v="2"/>
    <n v="59"/>
    <n v="62458"/>
    <n v="26425"/>
    <n v="44899"/>
    <n v="1143"/>
    <n v="413"/>
    <n v="604"/>
    <n v="2160"/>
    <n v="36.610169491525426"/>
  </r>
  <r>
    <s v="Dezember"/>
    <x v="2"/>
    <n v="59"/>
    <n v="63601"/>
    <n v="26838"/>
    <n v="45503"/>
    <n v="1255"/>
    <n v="514"/>
    <n v="781"/>
    <n v="2550"/>
    <n v="43.220338983050844"/>
  </r>
  <r>
    <s v="Januar"/>
    <x v="3"/>
    <n v="66"/>
    <n v="64856"/>
    <n v="27352"/>
    <n v="46284"/>
    <n v="977"/>
    <n v="401"/>
    <n v="593"/>
    <n v="1971"/>
    <n v="29.863636363636363"/>
  </r>
  <r>
    <s v="Februar"/>
    <x v="3"/>
    <n v="66"/>
    <n v="65833"/>
    <n v="27753"/>
    <n v="46877"/>
    <n v="881"/>
    <n v="347"/>
    <n v="479"/>
    <n v="1707"/>
    <n v="25.863636363636363"/>
  </r>
  <r>
    <s v="März"/>
    <x v="3"/>
    <n v="66"/>
    <n v="66714"/>
    <n v="28100"/>
    <n v="47356"/>
    <n v="1150"/>
    <n v="434"/>
    <n v="627"/>
    <n v="2211"/>
    <n v="33.5"/>
  </r>
  <r>
    <s v="April"/>
    <x v="3"/>
    <n v="66"/>
    <n v="67864"/>
    <n v="28534"/>
    <n v="47983"/>
    <n v="986"/>
    <n v="338"/>
    <n v="509"/>
    <n v="1833"/>
    <n v="27.772727272727273"/>
  </r>
  <r>
    <s v="Mai "/>
    <x v="3"/>
    <n v="66"/>
    <n v="68850"/>
    <n v="28872"/>
    <n v="48492"/>
    <n v="1053"/>
    <n v="377"/>
    <n v="566"/>
    <n v="1996"/>
    <n v="30.242424242424242"/>
  </r>
  <r>
    <s v="Juni"/>
    <x v="3"/>
    <n v="66"/>
    <n v="69903"/>
    <n v="29249"/>
    <n v="49058"/>
    <n v="842"/>
    <n v="318"/>
    <n v="422"/>
    <n v="1582"/>
    <n v="23.969696969696969"/>
  </r>
  <r>
    <s v="Juli"/>
    <x v="3"/>
    <n v="66"/>
    <n v="70745"/>
    <n v="29567"/>
    <n v="49480"/>
    <n v="1267"/>
    <n v="422"/>
    <n v="619"/>
    <n v="2308"/>
    <n v="34.969696969696969"/>
  </r>
  <r>
    <s v="August"/>
    <x v="3"/>
    <n v="66"/>
    <n v="72012"/>
    <n v="29989"/>
    <n v="50099"/>
    <n v="902"/>
    <n v="348"/>
    <n v="524"/>
    <n v="1774"/>
    <n v="26.878787878787879"/>
  </r>
  <r>
    <s v="September"/>
    <x v="3"/>
    <n v="66"/>
    <n v="72914"/>
    <n v="30337"/>
    <n v="50623"/>
    <n v="994"/>
    <n v="471"/>
    <n v="635"/>
    <n v="2100"/>
    <n v="31.818181818181817"/>
  </r>
  <r>
    <s v="Oktober"/>
    <x v="3"/>
    <n v="66"/>
    <n v="73908"/>
    <n v="30808"/>
    <n v="51258"/>
    <n v="1005.7777777777778"/>
    <n v="384"/>
    <n v="552.66666666666663"/>
    <n v="1942.4444444444443"/>
    <n v="29.430976430976429"/>
  </r>
  <r>
    <s v="November"/>
    <x v="3"/>
    <n v="66"/>
    <m/>
    <m/>
    <m/>
    <n v="1005.7777777777777"/>
    <n v="384"/>
    <n v="552.66666666666674"/>
    <n v="1942.4444444444446"/>
    <n v="29.430976430976433"/>
  </r>
  <r>
    <s v="Dezember"/>
    <x v="3"/>
    <n v="66"/>
    <m/>
    <m/>
    <m/>
    <n v="1005.7777777777777"/>
    <n v="384"/>
    <n v="552.66666666666674"/>
    <n v="1942.4444444444446"/>
    <n v="29.43097643097643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s v="Januar"/>
    <x v="0"/>
    <n v="46.6"/>
    <n v="25272"/>
    <n v="14829"/>
    <n v="24356"/>
    <n v="1071"/>
    <n v="322"/>
    <n v="580"/>
    <n v="1973"/>
    <n v="42.339055793991413"/>
    <n v="103.85"/>
    <n v="129.63999999999999"/>
    <n v="251.99"/>
    <n v="1.5800000000000125"/>
    <n v="2.8100000000000023"/>
    <n v="4.4599999999999795"/>
    <n v="8.8499999999999943"/>
    <n v="0.18991416309012862"/>
  </r>
  <r>
    <s v="Februar"/>
    <x v="0"/>
    <n v="46.6"/>
    <n v="26343"/>
    <n v="15151"/>
    <n v="24936"/>
    <n v="1128"/>
    <n v="321"/>
    <n v="627"/>
    <n v="2076"/>
    <n v="44.549356223175963"/>
    <n v="105.43"/>
    <n v="132.44999999999999"/>
    <n v="256.45"/>
    <n v="1.9199999999999875"/>
    <n v="3.2900000000000205"/>
    <n v="5.3799999999999955"/>
    <n v="10.590000000000003"/>
    <n v="0.22725321888412023"/>
  </r>
  <r>
    <s v="März"/>
    <x v="0"/>
    <n v="46.6"/>
    <n v="27471"/>
    <n v="15472"/>
    <n v="25563"/>
    <n v="1018"/>
    <n v="322"/>
    <n v="517"/>
    <n v="1857"/>
    <n v="39.849785407725321"/>
    <n v="107.35"/>
    <n v="135.74"/>
    <n v="261.83"/>
    <n v="1.7199999999999989"/>
    <n v="2.8199999999999932"/>
    <n v="4.6299999999999955"/>
    <n v="9.1699999999999875"/>
    <n v="0.19678111587982805"/>
  </r>
  <r>
    <s v="April"/>
    <x v="0"/>
    <n v="46.6"/>
    <n v="28489"/>
    <n v="15794"/>
    <n v="26080"/>
    <n v="1054"/>
    <n v="314"/>
    <n v="573"/>
    <n v="1941"/>
    <n v="41.652360515021456"/>
    <n v="109.07"/>
    <n v="138.56"/>
    <n v="266.45999999999998"/>
    <n v="1.5800000000000125"/>
    <n v="3.1299999999999955"/>
    <n v="4.3799999999999955"/>
    <n v="9.0900000000000034"/>
    <n v="0.19506437768240351"/>
  </r>
  <r>
    <s v="Mai "/>
    <x v="0"/>
    <n v="54"/>
    <n v="29543"/>
    <n v="16108"/>
    <n v="26653"/>
    <n v="957"/>
    <n v="274"/>
    <n v="488"/>
    <n v="1719"/>
    <n v="31.833333333333332"/>
    <n v="110.65"/>
    <n v="141.69"/>
    <n v="270.83999999999997"/>
    <n v="1.6999999999999886"/>
    <n v="2.4699999999999989"/>
    <n v="3.9700000000000273"/>
    <n v="8.1400000000000148"/>
    <n v="0.15074074074074101"/>
  </r>
  <r>
    <s v="Juni"/>
    <x v="0"/>
    <n v="54"/>
    <n v="30500"/>
    <n v="16382"/>
    <n v="27141"/>
    <n v="1039"/>
    <n v="307"/>
    <n v="571"/>
    <n v="1917"/>
    <n v="35.5"/>
    <n v="112.35"/>
    <n v="144.16"/>
    <n v="274.81"/>
    <n v="1.8900000000000006"/>
    <n v="3.8600000000000136"/>
    <n v="5.1000000000000227"/>
    <n v="10.850000000000037"/>
    <n v="0.20092592592592662"/>
  </r>
  <r>
    <s v="Juli"/>
    <x v="0"/>
    <n v="54"/>
    <n v="31539"/>
    <n v="16689"/>
    <n v="27712"/>
    <n v="1118"/>
    <n v="392"/>
    <n v="702"/>
    <n v="2212"/>
    <n v="40.962962962962962"/>
    <n v="114.24"/>
    <n v="148.02000000000001"/>
    <n v="279.91000000000003"/>
    <n v="2.460000000000008"/>
    <n v="4.0199999999999818"/>
    <n v="7.589999999999975"/>
    <n v="14.069999999999965"/>
    <n v="0.26055555555555493"/>
  </r>
  <r>
    <s v="August"/>
    <x v="0"/>
    <n v="54"/>
    <n v="32657"/>
    <n v="17081"/>
    <n v="28414"/>
    <n v="967"/>
    <n v="299"/>
    <n v="523"/>
    <n v="1789"/>
    <n v="33.129629629629626"/>
    <n v="116.7"/>
    <n v="152.04"/>
    <n v="287.5"/>
    <n v="2.5"/>
    <n v="3.0300000000000011"/>
    <n v="3.5799999999999841"/>
    <n v="9.1099999999999852"/>
    <n v="0.16870370370370344"/>
  </r>
  <r>
    <s v="September"/>
    <x v="0"/>
    <n v="54"/>
    <n v="33624"/>
    <n v="17380"/>
    <n v="28937"/>
    <n v="1167"/>
    <n v="369"/>
    <n v="624"/>
    <n v="2160"/>
    <n v="40"/>
    <n v="119.2"/>
    <n v="155.07"/>
    <n v="291.08"/>
    <n v="2.3999999999999915"/>
    <n v="5.0200000000000102"/>
    <n v="6.6899999999999977"/>
    <n v="14.11"/>
    <n v="0.2612962962962963"/>
  </r>
  <r>
    <s v="Oktober"/>
    <x v="0"/>
    <n v="54"/>
    <n v="34791"/>
    <n v="17749"/>
    <n v="29561"/>
    <n v="1013"/>
    <n v="323"/>
    <n v="600"/>
    <n v="1936"/>
    <n v="35.851851851851855"/>
    <n v="121.6"/>
    <n v="160.09"/>
    <n v="297.77"/>
    <n v="1.8000000000000114"/>
    <n v="3.3799999999999955"/>
    <n v="4.5200000000000387"/>
    <n v="9.7000000000000455"/>
    <n v="0.17962962962963047"/>
  </r>
  <r>
    <s v="November"/>
    <x v="0"/>
    <n v="54"/>
    <n v="35804"/>
    <n v="18072"/>
    <n v="30161"/>
    <n v="1069"/>
    <n v="289"/>
    <n v="577"/>
    <n v="1935"/>
    <n v="35.833333333333336"/>
    <n v="123.4"/>
    <n v="163.47"/>
    <n v="302.29000000000002"/>
    <n v="1.2999999999999972"/>
    <n v="2.0699999999999932"/>
    <n v="4.3799999999999955"/>
    <n v="7.7499999999999858"/>
    <n v="0.14351851851851827"/>
  </r>
  <r>
    <s v="Dezember"/>
    <x v="0"/>
    <n v="54"/>
    <n v="36873"/>
    <n v="18361"/>
    <n v="30738"/>
    <n v="1106"/>
    <n v="352"/>
    <n v="607"/>
    <n v="2065"/>
    <n v="38.24074074074074"/>
    <n v="124.7"/>
    <n v="165.54"/>
    <n v="306.67"/>
    <n v="1.6199999999999903"/>
    <n v="3.8300000000000125"/>
    <n v="4.8599999999999568"/>
    <n v="10.30999999999996"/>
    <n v="0.19092592592592517"/>
  </r>
  <r>
    <s v="Januar"/>
    <x v="1"/>
    <n v="55"/>
    <n v="37979"/>
    <n v="18713"/>
    <n v="31345"/>
    <n v="1089"/>
    <n v="289"/>
    <n v="537"/>
    <n v="1915"/>
    <n v="34.81818181818182"/>
    <n v="126.32"/>
    <n v="169.37"/>
    <n v="311.52999999999997"/>
    <n v="1.6600000000000108"/>
    <n v="2.7400000000000091"/>
    <n v="4.8700000000000045"/>
    <n v="9.2700000000000244"/>
    <n v="0.168545454545455"/>
  </r>
  <r>
    <s v="Februar"/>
    <x v="1"/>
    <n v="55"/>
    <n v="39068"/>
    <n v="19002"/>
    <n v="31882"/>
    <n v="1117"/>
    <n v="326"/>
    <n v="616"/>
    <n v="2059"/>
    <n v="37.436363636363637"/>
    <n v="127.98"/>
    <n v="172.11"/>
    <n v="316.39999999999998"/>
    <n v="1.7399999999999949"/>
    <n v="3.8599999999999852"/>
    <n v="5.5"/>
    <n v="11.09999999999998"/>
    <n v="0.20181818181818145"/>
  </r>
  <r>
    <s v="März"/>
    <x v="1"/>
    <n v="55"/>
    <n v="40185"/>
    <n v="19328"/>
    <n v="32498"/>
    <n v="877"/>
    <n v="235"/>
    <n v="456"/>
    <n v="1568"/>
    <n v="28.509090909090908"/>
    <n v="129.72"/>
    <n v="175.97"/>
    <n v="321.89999999999998"/>
    <n v="1.4399999999999977"/>
    <n v="2.2400000000000091"/>
    <n v="4.2900000000000205"/>
    <n v="7.9700000000000273"/>
    <n v="0.1449090909090914"/>
  </r>
  <r>
    <s v="April"/>
    <x v="1"/>
    <n v="55"/>
    <n v="41062"/>
    <n v="19563"/>
    <n v="32954"/>
    <n v="954"/>
    <n v="259"/>
    <n v="538"/>
    <n v="1751"/>
    <n v="31.836363636363636"/>
    <n v="131.16"/>
    <n v="178.21"/>
    <n v="326.19"/>
    <n v="1.8199999999999932"/>
    <n v="2.7699999999999818"/>
    <n v="5.5099999999999909"/>
    <n v="10.099999999999966"/>
    <n v="0.18363636363636301"/>
  </r>
  <r>
    <s v="Mai "/>
    <x v="1"/>
    <n v="55"/>
    <n v="42016"/>
    <n v="19822"/>
    <n v="33492"/>
    <n v="982"/>
    <n v="282"/>
    <n v="527"/>
    <n v="1791"/>
    <n v="32.563636363636363"/>
    <n v="132.97999999999999"/>
    <n v="180.98"/>
    <n v="331.7"/>
    <n v="1.6300000000000239"/>
    <n v="2.9000000000000057"/>
    <n v="6.1700000000000159"/>
    <n v="10.700000000000045"/>
    <n v="0.19454545454545538"/>
  </r>
  <r>
    <s v="Juni"/>
    <x v="1"/>
    <n v="55"/>
    <n v="42998"/>
    <n v="20104"/>
    <n v="34019"/>
    <n v="1330"/>
    <n v="308"/>
    <n v="561"/>
    <n v="2199"/>
    <n v="39.981818181818184"/>
    <n v="134.61000000000001"/>
    <n v="183.88"/>
    <n v="337.87"/>
    <n v="2.8699999999999761"/>
    <n v="3.9900000000000091"/>
    <n v="4.7199999999999704"/>
    <n v="11.579999999999956"/>
    <n v="0.21054545454545373"/>
  </r>
  <r>
    <s v="Juli"/>
    <x v="1"/>
    <n v="55"/>
    <n v="44328"/>
    <n v="20412"/>
    <n v="34580"/>
    <n v="1316"/>
    <n v="287"/>
    <n v="572"/>
    <n v="2175"/>
    <n v="39.545454545454547"/>
    <n v="137.47999999999999"/>
    <n v="187.87"/>
    <n v="342.59"/>
    <n v="1.8100000000000023"/>
    <n v="3.3599999999999852"/>
    <n v="7.0600000000000023"/>
    <n v="12.22999999999999"/>
    <n v="0.22236363636363618"/>
  </r>
  <r>
    <s v="August"/>
    <x v="1"/>
    <n v="55"/>
    <n v="45644"/>
    <n v="20699"/>
    <n v="35152"/>
    <n v="1223"/>
    <n v="275"/>
    <n v="518"/>
    <n v="2016"/>
    <n v="36.654545454545456"/>
    <n v="139.29"/>
    <n v="191.23"/>
    <n v="349.65"/>
    <n v="1.8700000000000045"/>
    <n v="2.5700000000000216"/>
    <n v="3.8600000000000136"/>
    <n v="8.3000000000000398"/>
    <n v="0.15090909090909163"/>
  </r>
  <r>
    <s v="September"/>
    <x v="1"/>
    <n v="55"/>
    <n v="46867"/>
    <n v="20974"/>
    <n v="35670"/>
    <n v="1401"/>
    <n v="328"/>
    <n v="583"/>
    <n v="2312"/>
    <n v="42.036363636363639"/>
    <n v="141.16"/>
    <n v="193.8"/>
    <n v="353.51"/>
    <n v="2.2000000000000171"/>
    <n v="4"/>
    <n v="5.6299999999999955"/>
    <n v="11.830000000000013"/>
    <n v="0.2150909090909093"/>
  </r>
  <r>
    <s v="Oktober"/>
    <x v="1"/>
    <n v="55"/>
    <n v="48268"/>
    <n v="21302"/>
    <n v="36253"/>
    <n v="1312"/>
    <n v="443"/>
    <n v="607"/>
    <n v="2362"/>
    <n v="42.945454545454545"/>
    <n v="143.36000000000001"/>
    <n v="197.8"/>
    <n v="359.14"/>
    <n v="1.539999999999992"/>
    <n v="4.1699999999999875"/>
    <n v="4.5400000000000205"/>
    <n v="10.25"/>
    <n v="0.18636363636363637"/>
  </r>
  <r>
    <s v="November"/>
    <x v="1"/>
    <n v="55"/>
    <n v="49580"/>
    <n v="21745"/>
    <n v="36860"/>
    <n v="1130"/>
    <n v="358"/>
    <n v="610"/>
    <n v="2098"/>
    <n v="38.145454545454548"/>
    <n v="144.9"/>
    <n v="201.97"/>
    <n v="363.68"/>
    <n v="1.4899999999999807"/>
    <n v="3.2800000000000011"/>
    <n v="5.0799999999999841"/>
    <n v="9.8499999999999659"/>
    <n v="0.17909090909090847"/>
  </r>
  <r>
    <s v="Dezember"/>
    <x v="1"/>
    <n v="55"/>
    <n v="50710"/>
    <n v="22103"/>
    <n v="37470"/>
    <n v="1173"/>
    <n v="449"/>
    <n v="635"/>
    <n v="2257"/>
    <n v="41.036363636363639"/>
    <n v="146.38999999999999"/>
    <n v="205.25"/>
    <n v="368.76"/>
    <n v="1.6500000000000057"/>
    <n v="3.75"/>
    <n v="4.7300000000000182"/>
    <n v="10.130000000000024"/>
    <n v="0.18418181818181861"/>
  </r>
  <r>
    <s v="Januar"/>
    <x v="2"/>
    <n v="59"/>
    <n v="51883"/>
    <n v="22552"/>
    <n v="38105"/>
    <n v="1127"/>
    <n v="367"/>
    <n v="530"/>
    <n v="2024"/>
    <n v="34.305084745762713"/>
    <n v="148.04"/>
    <n v="209"/>
    <n v="373.49"/>
    <n v="1.7400000000000091"/>
    <n v="3.7299999999999898"/>
    <n v="4.7400000000000091"/>
    <n v="10.210000000000008"/>
    <n v="0.17305084745762725"/>
  </r>
  <r>
    <s v="Februar"/>
    <x v="2"/>
    <n v="59"/>
    <n v="53010"/>
    <n v="22919"/>
    <n v="38635"/>
    <n v="1065"/>
    <n v="410"/>
    <n v="599"/>
    <n v="2074"/>
    <n v="35.152542372881356"/>
    <n v="149.78"/>
    <n v="212.73"/>
    <n v="378.23"/>
    <n v="1.8300000000000125"/>
    <n v="4.0600000000000023"/>
    <n v="6.5799999999999841"/>
    <n v="12.469999999999999"/>
    <n v="0.2113559322033898"/>
  </r>
  <r>
    <s v="März"/>
    <x v="2"/>
    <n v="59"/>
    <n v="54075"/>
    <n v="23329"/>
    <n v="39234"/>
    <n v="1047"/>
    <n v="330"/>
    <n v="583"/>
    <n v="1960"/>
    <n v="33.220338983050844"/>
    <n v="151.61000000000001"/>
    <n v="216.79"/>
    <n v="384.81"/>
    <n v="2.289999999999992"/>
    <n v="3.6500000000000057"/>
    <n v="4.4499999999999886"/>
    <n v="10.389999999999986"/>
    <n v="0.17610169491525401"/>
  </r>
  <r>
    <s v="April"/>
    <x v="2"/>
    <n v="59"/>
    <n v="55122"/>
    <n v="23659"/>
    <n v="39817"/>
    <n v="1045"/>
    <n v="338"/>
    <n v="661"/>
    <n v="2044"/>
    <n v="34.644067796610166"/>
    <n v="153.9"/>
    <n v="220.44"/>
    <n v="389.26"/>
    <n v="2.0099999999999909"/>
    <n v="3.210000000000008"/>
    <n v="4.4300000000000068"/>
    <n v="9.6500000000000057"/>
    <n v="0.16355932203389839"/>
  </r>
  <r>
    <s v="Mai "/>
    <x v="2"/>
    <n v="59"/>
    <n v="56167"/>
    <n v="23997"/>
    <n v="40478"/>
    <n v="1038.5"/>
    <n v="362"/>
    <n v="694.5"/>
    <n v="2095"/>
    <n v="35.508474576271183"/>
    <n v="155.91"/>
    <n v="223.65"/>
    <n v="393.69"/>
    <n v="2.1200000000000045"/>
    <n v="4.1199999999999903"/>
    <n v="5.2350000000000136"/>
    <n v="11.475000000000009"/>
    <n v="0.19449152542372897"/>
  </r>
  <r>
    <s v="Juni"/>
    <x v="2"/>
    <n v="59"/>
    <m/>
    <m/>
    <m/>
    <n v="1038.5"/>
    <n v="362"/>
    <n v="694.5"/>
    <n v="2095"/>
    <n v="35.508474576271183"/>
    <m/>
    <m/>
    <m/>
    <n v="2.1200000000000045"/>
    <n v="4.1199999999999903"/>
    <n v="5.2350000000000136"/>
    <n v="11.475000000000009"/>
    <n v="0.19449152542372897"/>
  </r>
  <r>
    <s v="Juli"/>
    <x v="2"/>
    <n v="59"/>
    <n v="58244"/>
    <n v="24721"/>
    <n v="41867"/>
    <n v="1027"/>
    <n v="390"/>
    <n v="708"/>
    <n v="2125"/>
    <n v="36.016949152542374"/>
    <n v="160.15"/>
    <n v="231.89"/>
    <n v="404.16"/>
    <n v="2.0099999999999909"/>
    <n v="3.8200000000000216"/>
    <n v="6.4399999999999977"/>
    <n v="12.27000000000001"/>
    <n v="0.20796610169491542"/>
  </r>
  <r>
    <s v="August"/>
    <x v="2"/>
    <n v="59"/>
    <n v="59271"/>
    <n v="25111"/>
    <n v="42575"/>
    <n v="1042"/>
    <n v="387"/>
    <n v="760"/>
    <n v="2189"/>
    <n v="37.101694915254235"/>
    <n v="162.16"/>
    <n v="235.71"/>
    <n v="410.6"/>
    <n v="2.1100000000000136"/>
    <n v="4.289999999999992"/>
    <n v="6.7999999999999545"/>
    <n v="13.19999999999996"/>
    <n v="0.22372881355932137"/>
  </r>
  <r>
    <s v="September"/>
    <x v="2"/>
    <n v="59"/>
    <n v="60313"/>
    <n v="25498"/>
    <n v="43335"/>
    <n v="1066"/>
    <n v="425"/>
    <n v="723"/>
    <n v="2214"/>
    <n v="37.525423728813557"/>
    <n v="164.27"/>
    <n v="240"/>
    <n v="417.4"/>
    <n v="1.5499999999999829"/>
    <n v="3.6200000000000045"/>
    <n v="5.7000000000000455"/>
    <n v="10.870000000000033"/>
    <n v="0.18423728813559379"/>
  </r>
  <r>
    <s v="Oktober"/>
    <x v="2"/>
    <n v="59"/>
    <n v="61379"/>
    <n v="25923"/>
    <n v="44058"/>
    <n v="1079"/>
    <n v="502"/>
    <n v="841"/>
    <n v="2422"/>
    <n v="41.050847457627121"/>
    <n v="165.82"/>
    <n v="243.62"/>
    <n v="423.1"/>
    <n v="1.8100000000000023"/>
    <n v="4.3199999999999932"/>
    <n v="8"/>
    <n v="14.129999999999995"/>
    <n v="0.23949152542372873"/>
  </r>
  <r>
    <s v="November"/>
    <x v="2"/>
    <n v="59"/>
    <n v="62458"/>
    <n v="26425"/>
    <n v="44899"/>
    <n v="1143"/>
    <n v="413"/>
    <n v="604"/>
    <n v="2160"/>
    <n v="36.610169491525426"/>
    <n v="167.63"/>
    <n v="247.94"/>
    <n v="431.1"/>
    <n v="1.6599999999999966"/>
    <n v="3.8700000000000045"/>
    <n v="4.3799999999999955"/>
    <n v="9.9099999999999966"/>
    <n v="0.16796610169491519"/>
  </r>
  <r>
    <s v="Dezember"/>
    <x v="2"/>
    <n v="59"/>
    <n v="63601"/>
    <n v="26838"/>
    <n v="45503"/>
    <n v="1255"/>
    <n v="514"/>
    <n v="781"/>
    <n v="2550"/>
    <n v="43.220338983050844"/>
    <n v="169.29"/>
    <n v="251.81"/>
    <n v="435.48"/>
    <n v="1.5600000000000023"/>
    <n v="3.6200000000000045"/>
    <n v="7.5199999999999818"/>
    <n v="12.699999999999989"/>
    <n v="0.21525423728813539"/>
  </r>
  <r>
    <s v="Januar"/>
    <x v="3"/>
    <n v="66"/>
    <n v="64856"/>
    <n v="27352"/>
    <n v="46284"/>
    <n v="977"/>
    <n v="401"/>
    <n v="593"/>
    <n v="1971"/>
    <n v="29.863636363636363"/>
    <n v="170.85"/>
    <n v="255.43"/>
    <n v="443"/>
    <n v="2.3900000000000148"/>
    <n v="4.1999999999999886"/>
    <n v="7.0299999999999727"/>
    <n v="13.619999999999976"/>
    <n v="0.206363636363636"/>
  </r>
  <r>
    <s v="Februar"/>
    <x v="3"/>
    <n v="66"/>
    <n v="65833"/>
    <n v="27753"/>
    <n v="46877"/>
    <n v="881"/>
    <n v="347"/>
    <n v="479"/>
    <n v="1707"/>
    <n v="25.863636363636363"/>
    <n v="173.24"/>
    <n v="259.63"/>
    <n v="450.03"/>
    <n v="1.5199999999999818"/>
    <n v="2.4200000000000159"/>
    <n v="5.5800000000000409"/>
    <n v="9.5200000000000387"/>
    <n v="0.14424242424242484"/>
  </r>
  <r>
    <s v="März"/>
    <x v="3"/>
    <n v="66"/>
    <n v="66714"/>
    <n v="28100"/>
    <n v="47356"/>
    <n v="1150"/>
    <n v="434"/>
    <n v="627"/>
    <n v="2211"/>
    <n v="33.5"/>
    <n v="174.76"/>
    <n v="262.05"/>
    <n v="455.61"/>
    <n v="2.7000000000000171"/>
    <n v="4.9099999999999682"/>
    <n v="6.6100000000000136"/>
    <n v="14.219999999999999"/>
    <n v="0.21545454545454543"/>
  </r>
  <r>
    <s v="April"/>
    <x v="3"/>
    <n v="66"/>
    <n v="67864"/>
    <n v="28534"/>
    <n v="47983"/>
    <n v="986"/>
    <n v="338"/>
    <n v="509"/>
    <n v="1833"/>
    <n v="27.772727272727273"/>
    <n v="177.46"/>
    <n v="266.95999999999998"/>
    <n v="462.22"/>
    <n v="2.0300000000000011"/>
    <n v="3.0300000000000296"/>
    <n v="7.3799999999999955"/>
    <n v="12.440000000000026"/>
    <n v="0.18848484848484889"/>
  </r>
  <r>
    <s v="Mai "/>
    <x v="3"/>
    <n v="66"/>
    <n v="68850"/>
    <n v="28872"/>
    <n v="48492"/>
    <n v="1053"/>
    <n v="377"/>
    <n v="566"/>
    <n v="1996"/>
    <n v="30.242424242424242"/>
    <n v="179.49"/>
    <n v="269.99"/>
    <n v="469.6"/>
    <n v="2.7199999999999989"/>
    <n v="4.9900000000000091"/>
    <n v="6.2199999999999704"/>
    <n v="13.929999999999978"/>
    <n v="0.21106060606060573"/>
  </r>
  <r>
    <s v="Juni"/>
    <x v="3"/>
    <n v="66"/>
    <n v="69903"/>
    <n v="29249"/>
    <n v="49058"/>
    <n v="842"/>
    <n v="318"/>
    <n v="422"/>
    <n v="1582"/>
    <n v="23.969696969696969"/>
    <n v="182.21"/>
    <n v="274.98"/>
    <n v="475.82"/>
    <n v="1.3400000000000034"/>
    <n v="2.6399999999999864"/>
    <n v="4.8899999999999864"/>
    <n v="8.8699999999999761"/>
    <n v="0.13439393939393904"/>
  </r>
  <r>
    <s v="Juli"/>
    <x v="3"/>
    <n v="66"/>
    <n v="70745"/>
    <n v="29567"/>
    <n v="49480"/>
    <n v="1267"/>
    <n v="422"/>
    <n v="619"/>
    <n v="2308"/>
    <n v="34.969696969696969"/>
    <n v="183.55"/>
    <n v="277.62"/>
    <n v="480.71"/>
    <n v="2.7299999999999898"/>
    <n v="3.9699999999999704"/>
    <n v="6.4500000000000455"/>
    <n v="13.150000000000006"/>
    <n v="0.19924242424242433"/>
  </r>
  <r>
    <s v="August"/>
    <x v="3"/>
    <n v="66"/>
    <n v="72012"/>
    <n v="29989"/>
    <n v="50099"/>
    <n v="902"/>
    <n v="348"/>
    <n v="524"/>
    <n v="1774"/>
    <n v="26.878787878787879"/>
    <n v="186.28"/>
    <n v="281.58999999999997"/>
    <n v="487.16"/>
    <n v="1.7199999999999989"/>
    <n v="3.0800000000000409"/>
    <n v="5.25"/>
    <n v="10.05000000000004"/>
    <n v="0.15227272727272786"/>
  </r>
  <r>
    <s v="September"/>
    <x v="3"/>
    <n v="66"/>
    <n v="72914"/>
    <n v="30337"/>
    <n v="50623"/>
    <n v="994"/>
    <n v="471"/>
    <n v="635"/>
    <n v="2100"/>
    <n v="31.818181818181817"/>
    <n v="188"/>
    <n v="284.67"/>
    <n v="492.41"/>
    <n v="1.710000000000008"/>
    <n v="4.1499999999999773"/>
    <n v="6.0399999999999636"/>
    <n v="11.899999999999949"/>
    <n v="0.18030303030302952"/>
  </r>
  <r>
    <s v="Oktober"/>
    <x v="3"/>
    <n v="66"/>
    <n v="73908"/>
    <n v="30808"/>
    <n v="51258"/>
    <n v="1005.7777777777778"/>
    <n v="384"/>
    <n v="552.66666666666663"/>
    <n v="1942.4444444444443"/>
    <n v="29.430976430976429"/>
    <n v="189.71"/>
    <n v="288.82"/>
    <n v="498.45"/>
    <n v="2.0955555555555572"/>
    <n v="3.7099999999999986"/>
    <n v="6.1611111111111097"/>
    <n v="11.966666666666665"/>
    <n v="0.18131313131313129"/>
  </r>
  <r>
    <s v="November"/>
    <x v="3"/>
    <n v="66"/>
    <m/>
    <m/>
    <m/>
    <n v="1005.7777777777777"/>
    <n v="384"/>
    <n v="552.66666666666674"/>
    <n v="1942.4444444444446"/>
    <n v="29.430976430976433"/>
    <m/>
    <m/>
    <m/>
    <n v="2.0955555555555572"/>
    <n v="3.7099999999999986"/>
    <n v="6.1611111111111097"/>
    <n v="11.966666666666665"/>
    <n v="0.18131313131313129"/>
  </r>
  <r>
    <s v="Dezember"/>
    <x v="3"/>
    <n v="66"/>
    <m/>
    <m/>
    <m/>
    <n v="1005.7777777777777"/>
    <n v="384"/>
    <n v="552.66666666666674"/>
    <n v="1942.4444444444446"/>
    <n v="29.430976430976433"/>
    <m/>
    <m/>
    <m/>
    <n v="2.0955555555555567"/>
    <n v="3.7099999999999991"/>
    <n v="6.1611111111111105"/>
    <n v="11.966666666666665"/>
    <n v="0.1813131313131312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s v="Januar"/>
    <x v="0"/>
    <n v="55"/>
    <n v="5646.01"/>
    <n v="9.7345000000000006"/>
  </r>
  <r>
    <s v="Februar"/>
    <x v="0"/>
    <n v="55"/>
    <n v="4338.4800000000005"/>
    <n v="6.919425837320575"/>
  </r>
  <r>
    <s v="März"/>
    <x v="0"/>
    <n v="55"/>
    <n v="2866.52"/>
    <n v="5.5445261121856868"/>
  </r>
  <r>
    <s v="April"/>
    <x v="0"/>
    <n v="55"/>
    <n v="1302.54"/>
    <n v="2.2731937172774868"/>
  </r>
  <r>
    <s v="Mai "/>
    <x v="0"/>
    <n v="55"/>
    <n v="2700.2889999999998"/>
    <n v="5.5333790983606557"/>
  </r>
  <r>
    <s v="Juni"/>
    <x v="0"/>
    <n v="55"/>
    <n v="1513.93"/>
    <n v="2.651366024518389"/>
  </r>
  <r>
    <s v="Juli"/>
    <x v="0"/>
    <n v="55"/>
    <n v="1592.31"/>
    <n v="2.2682478632478631"/>
  </r>
  <r>
    <s v="August"/>
    <x v="0"/>
    <n v="55"/>
    <n v="844.34"/>
    <n v="1.6144168260038241"/>
  </r>
  <r>
    <s v="September"/>
    <x v="0"/>
    <n v="55"/>
    <n v="3125.51"/>
    <n v="5.0088301282051289"/>
  </r>
  <r>
    <s v="Oktober"/>
    <x v="0"/>
    <n v="55"/>
    <n v="3092.17"/>
    <n v="5.1536166666666672"/>
  </r>
  <r>
    <s v="November"/>
    <x v="0"/>
    <n v="55"/>
    <n v="1456.24"/>
    <n v="2.5238128249566723"/>
  </r>
  <r>
    <s v="Dezember"/>
    <x v="0"/>
    <n v="55"/>
    <n v="1336.48"/>
    <n v="2.2017792421746294"/>
  </r>
  <r>
    <s v="Januar"/>
    <x v="1"/>
    <n v="59"/>
    <n v="3633.85"/>
    <n v="6.7669459962756049"/>
  </r>
  <r>
    <s v="Februar"/>
    <x v="1"/>
    <n v="59"/>
    <n v="2830.73"/>
    <n v="4.5953409090909094"/>
  </r>
  <r>
    <s v="März"/>
    <x v="1"/>
    <n v="59"/>
    <n v="4437.7"/>
    <n v="9.7317982456140353"/>
  </r>
  <r>
    <s v="April"/>
    <x v="1"/>
    <n v="59"/>
    <n v="7320.06"/>
    <n v="13.606059479553904"/>
  </r>
  <r>
    <s v="Mai "/>
    <x v="1"/>
    <n v="59"/>
    <n v="6870.43"/>
    <n v="13.036869070208729"/>
  </r>
  <r>
    <s v="Juni"/>
    <x v="1"/>
    <n v="59"/>
    <n v="2715"/>
    <n v="4.8395721925133692"/>
  </r>
  <r>
    <s v="Juli"/>
    <x v="1"/>
    <n v="59"/>
    <n v="0"/>
    <n v="0"/>
  </r>
  <r>
    <s v="August"/>
    <x v="1"/>
    <n v="59"/>
    <n v="7633"/>
    <n v="14.735521235521235"/>
  </r>
  <r>
    <s v="September"/>
    <x v="1"/>
    <n v="59"/>
    <n v="4186"/>
    <n v="7.1801029159519727"/>
  </r>
  <r>
    <s v="Oktober"/>
    <x v="1"/>
    <n v="59"/>
    <n v="2309"/>
    <n v="3.8039538714991763"/>
  </r>
  <r>
    <s v="November"/>
    <x v="1"/>
    <n v="59"/>
    <n v="5236"/>
    <n v="8.583606557377049"/>
  </r>
  <r>
    <s v="Dezember"/>
    <x v="1"/>
    <n v="59"/>
    <n v="1867"/>
    <n v="2.9401574803149608"/>
  </r>
  <r>
    <s v="Januar"/>
    <x v="2"/>
    <n v="66"/>
    <n v="6381"/>
    <n v="12.039622641509434"/>
  </r>
  <r>
    <s v="Februar"/>
    <x v="2"/>
    <n v="66"/>
    <n v="5197"/>
    <n v="8.6761268781302174"/>
  </r>
  <r>
    <s v="März"/>
    <x v="2"/>
    <n v="66"/>
    <n v="2250"/>
    <n v="3.8593481989708405"/>
  </r>
  <r>
    <s v="April"/>
    <x v="2"/>
    <n v="66"/>
    <n v="5867"/>
    <n v="8.8759455370650535"/>
  </r>
  <r>
    <s v="Mai "/>
    <x v="2"/>
    <n v="66"/>
    <n v="2057"/>
    <n v="2.9618430525557957"/>
  </r>
  <r>
    <s v="Juni"/>
    <x v="2"/>
    <n v="66"/>
    <n v="4485"/>
    <n v="6.4578833693304531"/>
  </r>
  <r>
    <s v="Juli"/>
    <x v="2"/>
    <n v="66"/>
    <n v="5158"/>
    <n v="7.2853107344632768"/>
  </r>
  <r>
    <s v="August"/>
    <x v="2"/>
    <n v="66"/>
    <n v="2317"/>
    <n v="3.0486842105263157"/>
  </r>
  <r>
    <s v="September"/>
    <x v="2"/>
    <n v="66"/>
    <n v="3628"/>
    <n v="5.0179806362378976"/>
  </r>
  <r>
    <s v="Oktober"/>
    <x v="2"/>
    <n v="66"/>
    <n v="7981"/>
    <n v="9.4898929845422124"/>
  </r>
  <r>
    <s v="November"/>
    <x v="2"/>
    <n v="66"/>
    <n v="11702"/>
    <n v="19.374172185430464"/>
  </r>
  <r>
    <s v="Dezember"/>
    <x v="2"/>
    <n v="66"/>
    <n v="3001"/>
    <n v="3.842509603072983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s v="Januar"/>
    <x v="0"/>
    <n v="46.6"/>
    <n v="25272"/>
    <n v="14829"/>
    <n v="24356"/>
    <n v="1071"/>
    <n v="322"/>
    <n v="580"/>
    <n v="1973"/>
    <n v="42.339055793991413"/>
    <n v="103.85"/>
    <n v="129.63999999999999"/>
    <n v="251.99"/>
    <n v="1.5800000000000125"/>
    <n v="2.8100000000000023"/>
    <n v="4.4599999999999795"/>
    <n v="8.8499999999999943"/>
    <n v="0.18991416309012862"/>
    <n v="210079"/>
    <n v="6839"/>
    <n v="33946"/>
    <n v="810.33333333333326"/>
    <n v="7649.333333333333"/>
  </r>
  <r>
    <s v="Februar"/>
    <x v="0"/>
    <n v="46.6"/>
    <n v="26343"/>
    <n v="15151"/>
    <n v="24936"/>
    <n v="1128"/>
    <n v="321"/>
    <n v="627"/>
    <n v="2076"/>
    <n v="44.549356223175963"/>
    <n v="105.43"/>
    <n v="132.44999999999999"/>
    <n v="256.45"/>
    <n v="1.9199999999999875"/>
    <n v="3.2900000000000205"/>
    <n v="5.3799999999999955"/>
    <n v="10.590000000000003"/>
    <n v="0.22725321888412023"/>
    <n v="218757"/>
    <n v="8678"/>
    <n v="34270"/>
    <n v="324"/>
    <n v="9002"/>
  </r>
  <r>
    <s v="März"/>
    <x v="0"/>
    <n v="46.6"/>
    <n v="27471"/>
    <n v="15472"/>
    <n v="25563"/>
    <n v="1018"/>
    <n v="322"/>
    <n v="517"/>
    <n v="1857"/>
    <n v="39.849785407725321"/>
    <n v="107.35"/>
    <n v="135.74"/>
    <n v="261.83"/>
    <n v="1.7199999999999989"/>
    <n v="2.8199999999999932"/>
    <n v="4.6299999999999955"/>
    <n v="9.1699999999999875"/>
    <n v="0.19678111587982805"/>
    <n v="225862"/>
    <n v="7105"/>
    <n v="35154"/>
    <n v="884"/>
    <n v="7989"/>
  </r>
  <r>
    <s v="April"/>
    <x v="0"/>
    <n v="46.6"/>
    <n v="28489"/>
    <n v="15794"/>
    <n v="26080"/>
    <n v="1054"/>
    <n v="314"/>
    <n v="573"/>
    <n v="1941"/>
    <n v="41.652360515021456"/>
    <n v="109.07"/>
    <n v="138.56"/>
    <n v="266.45999999999998"/>
    <n v="1.5800000000000125"/>
    <n v="3.1299999999999955"/>
    <n v="4.3799999999999955"/>
    <n v="9.0900000000000034"/>
    <n v="0.19506437768240351"/>
    <n v="232801"/>
    <n v="6939"/>
    <n v="36902"/>
    <n v="1748"/>
    <n v="8687"/>
  </r>
  <r>
    <s v="Mai "/>
    <x v="0"/>
    <n v="54"/>
    <n v="29543"/>
    <n v="16108"/>
    <n v="26653"/>
    <n v="957"/>
    <n v="274"/>
    <n v="488"/>
    <n v="1719"/>
    <n v="31.833333333333332"/>
    <n v="110.65"/>
    <n v="141.69"/>
    <n v="270.83999999999997"/>
    <n v="1.6999999999999886"/>
    <n v="2.4699999999999989"/>
    <n v="3.9700000000000273"/>
    <n v="8.1400000000000148"/>
    <n v="0.15074074074074101"/>
    <n v="243033"/>
    <n v="10232"/>
    <n v="38880"/>
    <n v="1978"/>
    <n v="12210"/>
  </r>
  <r>
    <s v="Juni"/>
    <x v="0"/>
    <n v="54"/>
    <n v="30500"/>
    <n v="16382"/>
    <n v="27141"/>
    <n v="1039"/>
    <n v="307"/>
    <n v="571"/>
    <n v="1917"/>
    <n v="35.5"/>
    <n v="112.35"/>
    <n v="144.16"/>
    <n v="274.81"/>
    <n v="1.8900000000000006"/>
    <n v="3.8600000000000136"/>
    <n v="5.1000000000000227"/>
    <n v="10.850000000000037"/>
    <n v="0.20092592592592662"/>
    <n v="249500"/>
    <n v="6467"/>
    <n v="39897"/>
    <n v="1017"/>
    <n v="7484"/>
  </r>
  <r>
    <s v="Juli"/>
    <x v="0"/>
    <n v="54"/>
    <n v="31539"/>
    <n v="16689"/>
    <n v="27712"/>
    <n v="1118"/>
    <n v="392"/>
    <n v="702"/>
    <n v="2212"/>
    <n v="40.962962962962962"/>
    <n v="114.24"/>
    <n v="148.02000000000001"/>
    <n v="279.91000000000003"/>
    <n v="2.460000000000008"/>
    <n v="4.0199999999999818"/>
    <n v="7.589999999999975"/>
    <n v="14.069999999999965"/>
    <n v="0.26055555555555493"/>
    <n v="256361"/>
    <n v="6861"/>
    <n v="40421"/>
    <n v="524"/>
    <n v="7385"/>
  </r>
  <r>
    <s v="August"/>
    <x v="0"/>
    <n v="54"/>
    <n v="32657"/>
    <n v="17081"/>
    <n v="28414"/>
    <n v="967"/>
    <n v="299"/>
    <n v="523"/>
    <n v="1789"/>
    <n v="33.129629629629626"/>
    <n v="116.7"/>
    <n v="152.04"/>
    <n v="287.5"/>
    <n v="2.5"/>
    <n v="3.0300000000000011"/>
    <n v="3.5799999999999841"/>
    <n v="9.1099999999999852"/>
    <n v="0.16870370370370344"/>
    <n v="266635"/>
    <n v="10274"/>
    <n v="41404"/>
    <n v="983"/>
    <n v="11257"/>
  </r>
  <r>
    <s v="September"/>
    <x v="0"/>
    <n v="54"/>
    <n v="33624"/>
    <n v="17380"/>
    <n v="28937"/>
    <n v="1167"/>
    <n v="369"/>
    <n v="624"/>
    <n v="2160"/>
    <n v="40"/>
    <n v="119.2"/>
    <n v="155.07"/>
    <n v="291.08"/>
    <n v="2.3999999999999915"/>
    <n v="5.0200000000000102"/>
    <n v="6.6899999999999977"/>
    <n v="14.11"/>
    <n v="0.2612962962962963"/>
    <n v="272800"/>
    <n v="6165"/>
    <n v="41825"/>
    <n v="421"/>
    <n v="6586"/>
  </r>
  <r>
    <s v="Oktober"/>
    <x v="0"/>
    <n v="54"/>
    <n v="34791"/>
    <n v="17749"/>
    <n v="29561"/>
    <n v="1013"/>
    <n v="323"/>
    <n v="600"/>
    <n v="1936"/>
    <n v="35.851851851851855"/>
    <n v="121.6"/>
    <n v="160.09"/>
    <n v="297.77"/>
    <n v="1.8000000000000114"/>
    <n v="3.3799999999999955"/>
    <n v="4.5200000000000387"/>
    <n v="9.7000000000000455"/>
    <n v="0.17962962962963047"/>
    <n v="282452"/>
    <n v="9652"/>
    <n v="42484"/>
    <n v="659"/>
    <n v="10311"/>
  </r>
  <r>
    <s v="November"/>
    <x v="0"/>
    <n v="54"/>
    <n v="35804"/>
    <n v="18072"/>
    <n v="30161"/>
    <n v="1069"/>
    <n v="289"/>
    <n v="577"/>
    <n v="1935"/>
    <n v="35.833333333333336"/>
    <n v="123.4"/>
    <n v="163.47"/>
    <n v="302.29000000000002"/>
    <n v="1.2999999999999972"/>
    <n v="2.0699999999999932"/>
    <n v="4.3799999999999955"/>
    <n v="7.7499999999999858"/>
    <n v="0.14351851851851827"/>
    <n v="291687"/>
    <n v="9235"/>
    <n v="42966"/>
    <n v="482"/>
    <n v="9717"/>
  </r>
  <r>
    <s v="Dezember"/>
    <x v="0"/>
    <n v="54"/>
    <n v="36873"/>
    <n v="18361"/>
    <n v="30738"/>
    <n v="1106"/>
    <n v="352"/>
    <n v="607"/>
    <n v="2065"/>
    <n v="38.24074074074074"/>
    <n v="124.7"/>
    <n v="165.54"/>
    <n v="306.67"/>
    <n v="1.6199999999999903"/>
    <n v="3.8300000000000125"/>
    <n v="4.8599999999999568"/>
    <n v="10.30999999999996"/>
    <n v="0.19092592592592517"/>
    <n v="297622"/>
    <n v="5935"/>
    <n v="43357"/>
    <n v="391"/>
    <n v="6326"/>
  </r>
  <r>
    <s v="Januar"/>
    <x v="1"/>
    <n v="55"/>
    <n v="37979"/>
    <n v="18713"/>
    <n v="31345"/>
    <n v="1089"/>
    <n v="289"/>
    <n v="537"/>
    <n v="1915"/>
    <n v="34.81818181818182"/>
    <n v="126.32"/>
    <n v="169.37"/>
    <n v="311.52999999999997"/>
    <n v="1.6600000000000108"/>
    <n v="2.7400000000000091"/>
    <n v="4.8700000000000045"/>
    <n v="9.2700000000000244"/>
    <n v="0.168545454545455"/>
    <n v="306520"/>
    <n v="8898"/>
    <n v="44405"/>
    <n v="1048"/>
    <n v="9946"/>
  </r>
  <r>
    <s v="Februar"/>
    <x v="1"/>
    <n v="55"/>
    <n v="39068"/>
    <n v="19002"/>
    <n v="31882"/>
    <n v="1117"/>
    <n v="326"/>
    <n v="616"/>
    <n v="2059"/>
    <n v="37.436363636363637"/>
    <n v="127.98"/>
    <n v="172.11"/>
    <n v="316.39999999999998"/>
    <n v="1.7399999999999949"/>
    <n v="3.8599999999999852"/>
    <n v="5.5"/>
    <n v="11.09999999999998"/>
    <n v="0.20181818181818145"/>
    <n v="311950"/>
    <n v="5430"/>
    <n v="44748"/>
    <n v="343"/>
    <n v="5773"/>
  </r>
  <r>
    <s v="März"/>
    <x v="1"/>
    <n v="55"/>
    <n v="40185"/>
    <n v="19328"/>
    <n v="32498"/>
    <n v="877"/>
    <n v="235"/>
    <n v="456"/>
    <n v="1568"/>
    <n v="28.509090909090908"/>
    <n v="129.72"/>
    <n v="175.97"/>
    <n v="321.89999999999998"/>
    <n v="1.4399999999999977"/>
    <n v="2.2400000000000091"/>
    <n v="4.2900000000000205"/>
    <n v="7.9700000000000273"/>
    <n v="0.1449090909090914"/>
    <n v="317272"/>
    <n v="5322"/>
    <n v="45702"/>
    <n v="954"/>
    <n v="6276"/>
  </r>
  <r>
    <s v="April"/>
    <x v="1"/>
    <n v="55"/>
    <n v="41062"/>
    <n v="19563"/>
    <n v="32954"/>
    <n v="954"/>
    <n v="259"/>
    <n v="538"/>
    <n v="1751"/>
    <n v="31.836363636363636"/>
    <n v="131.16"/>
    <n v="178.21"/>
    <n v="326.19"/>
    <n v="1.8199999999999932"/>
    <n v="2.7699999999999818"/>
    <n v="5.5099999999999909"/>
    <n v="10.099999999999966"/>
    <n v="0.18363636363636301"/>
    <n v="322912"/>
    <n v="5640"/>
    <n v="45827"/>
    <n v="125"/>
    <n v="5765"/>
  </r>
  <r>
    <s v="Mai "/>
    <x v="1"/>
    <n v="55"/>
    <n v="42016"/>
    <n v="19822"/>
    <n v="33492"/>
    <n v="982"/>
    <n v="282"/>
    <n v="527"/>
    <n v="1791"/>
    <n v="32.563636363636363"/>
    <n v="132.97999999999999"/>
    <n v="180.98"/>
    <n v="331.7"/>
    <n v="1.6300000000000239"/>
    <n v="2.9000000000000057"/>
    <n v="6.1700000000000159"/>
    <n v="10.700000000000045"/>
    <n v="0.19454545454545538"/>
    <n v="328564"/>
    <n v="5652"/>
    <n v="45947"/>
    <n v="120"/>
    <n v="5772"/>
  </r>
  <r>
    <s v="Juni"/>
    <x v="1"/>
    <n v="55"/>
    <n v="42998"/>
    <n v="20104"/>
    <n v="34019"/>
    <n v="1330"/>
    <n v="308"/>
    <n v="561"/>
    <n v="2199"/>
    <n v="39.981818181818184"/>
    <n v="134.61000000000001"/>
    <n v="183.88"/>
    <n v="337.87"/>
    <n v="2.8699999999999761"/>
    <n v="3.9900000000000091"/>
    <n v="4.7199999999999704"/>
    <n v="11.579999999999956"/>
    <n v="0.21054545454545373"/>
    <n v="335699"/>
    <n v="7135"/>
    <n v="46118"/>
    <n v="171"/>
    <n v="7306"/>
  </r>
  <r>
    <s v="Juli"/>
    <x v="1"/>
    <n v="55"/>
    <n v="44328"/>
    <n v="20412"/>
    <n v="34580"/>
    <n v="1316"/>
    <n v="287"/>
    <n v="572"/>
    <n v="2175"/>
    <n v="39.545454545454547"/>
    <n v="137.47999999999999"/>
    <n v="187.87"/>
    <n v="342.59"/>
    <n v="1.8100000000000023"/>
    <n v="3.3599999999999852"/>
    <n v="7.0600000000000023"/>
    <n v="12.22999999999999"/>
    <n v="0.22236363636363618"/>
    <n v="343804"/>
    <n v="8105"/>
    <n v="46581"/>
    <n v="463"/>
    <n v="8568"/>
  </r>
  <r>
    <s v="August"/>
    <x v="1"/>
    <n v="55"/>
    <n v="45644"/>
    <n v="20699"/>
    <n v="35152"/>
    <n v="1223"/>
    <n v="275"/>
    <n v="518"/>
    <n v="2016"/>
    <n v="36.654545454545456"/>
    <n v="139.29"/>
    <n v="191.23"/>
    <n v="349.65"/>
    <n v="1.8700000000000045"/>
    <n v="2.5700000000000216"/>
    <n v="3.8600000000000136"/>
    <n v="8.3000000000000398"/>
    <n v="0.15090909090909163"/>
    <m/>
    <n v="7843.25"/>
    <m/>
    <n v="1090"/>
    <n v="8933.25"/>
  </r>
  <r>
    <s v="September"/>
    <x v="1"/>
    <n v="55"/>
    <n v="46867"/>
    <n v="20974"/>
    <n v="35670"/>
    <n v="1401"/>
    <n v="328"/>
    <n v="583"/>
    <n v="2312"/>
    <n v="42.036363636363639"/>
    <n v="141.16"/>
    <n v="193.8"/>
    <n v="353.51"/>
    <n v="2.2000000000000171"/>
    <n v="4"/>
    <n v="5.6299999999999955"/>
    <n v="11.830000000000013"/>
    <n v="0.2150909090909093"/>
    <m/>
    <n v="7843.25"/>
    <m/>
    <n v="1090"/>
    <n v="8933.25"/>
  </r>
  <r>
    <s v="Oktober"/>
    <x v="1"/>
    <n v="55"/>
    <n v="48268"/>
    <n v="21302"/>
    <n v="36253"/>
    <n v="1312"/>
    <n v="443"/>
    <n v="607"/>
    <n v="2362"/>
    <n v="42.945454545454545"/>
    <n v="143.36000000000001"/>
    <n v="197.8"/>
    <n v="359.14"/>
    <n v="1.539999999999992"/>
    <n v="4.1699999999999875"/>
    <n v="4.5400000000000205"/>
    <n v="10.25"/>
    <n v="0.18636363636363637"/>
    <m/>
    <n v="7843.25"/>
    <m/>
    <n v="1090"/>
    <n v="8933.25"/>
  </r>
  <r>
    <s v="November"/>
    <x v="1"/>
    <n v="55"/>
    <n v="49580"/>
    <n v="21745"/>
    <n v="36860"/>
    <n v="1130"/>
    <n v="358"/>
    <n v="610"/>
    <n v="2098"/>
    <n v="38.145454545454548"/>
    <n v="144.9"/>
    <n v="201.97"/>
    <n v="363.68"/>
    <n v="1.4899999999999807"/>
    <n v="3.2800000000000011"/>
    <n v="5.0799999999999841"/>
    <n v="9.8499999999999659"/>
    <n v="0.17909090909090847"/>
    <n v="375177"/>
    <n v="7843.25"/>
    <n v="50941"/>
    <n v="1090"/>
    <n v="8933.25"/>
  </r>
  <r>
    <s v="Dezember"/>
    <x v="1"/>
    <n v="55"/>
    <n v="50710"/>
    <n v="22103"/>
    <n v="37470"/>
    <n v="1173"/>
    <n v="449"/>
    <n v="635"/>
    <n v="2257"/>
    <n v="41.036363636363639"/>
    <n v="146.38999999999999"/>
    <n v="205.25"/>
    <n v="368.76"/>
    <n v="1.6500000000000057"/>
    <n v="3.75"/>
    <n v="4.7300000000000182"/>
    <n v="10.130000000000024"/>
    <n v="0.18418181818181861"/>
    <n v="378956"/>
    <n v="3779"/>
    <n v="51199"/>
    <n v="258"/>
    <n v="4037"/>
  </r>
  <r>
    <s v="Januar"/>
    <x v="2"/>
    <n v="59"/>
    <n v="51883"/>
    <n v="22552"/>
    <n v="38105"/>
    <n v="1127"/>
    <n v="367"/>
    <n v="530"/>
    <n v="2024"/>
    <n v="34.305084745762713"/>
    <n v="148.04"/>
    <n v="209"/>
    <n v="373.49"/>
    <n v="1.7400000000000091"/>
    <n v="3.7299999999999898"/>
    <n v="4.7400000000000091"/>
    <n v="10.210000000000008"/>
    <n v="0.17305084745762725"/>
    <m/>
    <n v="4180.333333333333"/>
    <m/>
    <n v="168"/>
    <n v="4348.333333333333"/>
  </r>
  <r>
    <s v="Februar"/>
    <x v="2"/>
    <n v="59"/>
    <n v="53010"/>
    <n v="22919"/>
    <n v="38635"/>
    <n v="1065"/>
    <n v="410"/>
    <n v="599"/>
    <n v="2074"/>
    <n v="35.152542372881356"/>
    <n v="149.78"/>
    <n v="212.73"/>
    <n v="378.23"/>
    <n v="1.8300000000000125"/>
    <n v="4.0600000000000023"/>
    <n v="6.5799999999999841"/>
    <n v="12.469999999999999"/>
    <n v="0.2113559322033898"/>
    <m/>
    <n v="4180.333333333333"/>
    <m/>
    <n v="168"/>
    <n v="4348.333333333333"/>
  </r>
  <r>
    <s v="März"/>
    <x v="2"/>
    <n v="59"/>
    <n v="54075"/>
    <n v="23329"/>
    <n v="39234"/>
    <n v="1047"/>
    <n v="330"/>
    <n v="583"/>
    <n v="1960"/>
    <n v="33.220338983050844"/>
    <n v="151.61000000000001"/>
    <n v="216.79"/>
    <n v="384.81"/>
    <n v="2.289999999999992"/>
    <n v="3.6500000000000057"/>
    <n v="4.4499999999999886"/>
    <n v="10.389999999999986"/>
    <n v="0.17610169491525401"/>
    <n v="391497"/>
    <n v="4180.333333333333"/>
    <n v="51703"/>
    <n v="168"/>
    <n v="4348.333333333333"/>
  </r>
  <r>
    <s v="April"/>
    <x v="2"/>
    <n v="59"/>
    <n v="55122"/>
    <n v="23659"/>
    <n v="39817"/>
    <n v="1045"/>
    <n v="338"/>
    <n v="661"/>
    <n v="2044"/>
    <n v="34.644067796610166"/>
    <n v="153.9"/>
    <n v="220.44"/>
    <n v="389.26"/>
    <n v="2.0099999999999909"/>
    <n v="3.210000000000008"/>
    <n v="4.4300000000000068"/>
    <n v="9.6500000000000057"/>
    <n v="0.16355932203389839"/>
    <m/>
    <n v="8427.7142857142862"/>
    <m/>
    <n v="1150.8571428571429"/>
    <n v="9578.5714285714294"/>
  </r>
  <r>
    <s v="Mai "/>
    <x v="2"/>
    <n v="59"/>
    <n v="56167"/>
    <n v="23997"/>
    <n v="40478"/>
    <n v="1038.5"/>
    <n v="362"/>
    <n v="694.5"/>
    <n v="2095"/>
    <n v="35.508474576271183"/>
    <n v="155.91"/>
    <n v="223.65"/>
    <n v="393.69"/>
    <n v="2.1200000000000045"/>
    <n v="4.1199999999999903"/>
    <n v="5.2350000000000136"/>
    <n v="11.475000000000009"/>
    <n v="0.19449152542372897"/>
    <m/>
    <n v="8427.7142857142862"/>
    <m/>
    <n v="1150.8571428571429"/>
    <n v="9578.5714285714294"/>
  </r>
  <r>
    <s v="Juni"/>
    <x v="2"/>
    <n v="59"/>
    <m/>
    <m/>
    <m/>
    <n v="1038.5"/>
    <n v="362"/>
    <n v="694.5"/>
    <n v="2095"/>
    <n v="35.508474576271183"/>
    <m/>
    <m/>
    <m/>
    <n v="2.1200000000000045"/>
    <n v="4.1199999999999903"/>
    <n v="5.2350000000000136"/>
    <n v="11.475000000000009"/>
    <n v="0.19449152542372897"/>
    <n v="420994"/>
    <n v="8427.7142857142862"/>
    <n v="55731"/>
    <n v="1150.8571428571429"/>
    <n v="9578.5714285714294"/>
  </r>
  <r>
    <s v="Juli"/>
    <x v="2"/>
    <n v="59"/>
    <n v="58244"/>
    <n v="24721"/>
    <n v="41867"/>
    <n v="1027"/>
    <n v="390"/>
    <n v="708"/>
    <n v="2125"/>
    <n v="36.016949152542374"/>
    <n v="160.15"/>
    <n v="231.89"/>
    <n v="404.16"/>
    <n v="2.0099999999999909"/>
    <n v="3.8200000000000216"/>
    <n v="6.4399999999999977"/>
    <n v="12.27000000000001"/>
    <n v="0.20796610169491542"/>
    <m/>
    <n v="5517.5"/>
    <m/>
    <n v="1174.3333333333333"/>
    <n v="6691.833333333333"/>
  </r>
  <r>
    <s v="August"/>
    <x v="2"/>
    <n v="59"/>
    <n v="59271"/>
    <n v="25111"/>
    <n v="42575"/>
    <n v="1042"/>
    <n v="387"/>
    <n v="760"/>
    <n v="2189"/>
    <n v="37.101694915254235"/>
    <n v="162.16"/>
    <n v="235.71"/>
    <n v="410.6"/>
    <n v="2.1100000000000136"/>
    <n v="4.289999999999992"/>
    <n v="6.7999999999999545"/>
    <n v="13.19999999999996"/>
    <n v="0.22372881355932137"/>
    <n v="11035"/>
    <n v="5517.5"/>
    <m/>
    <n v="1174.3333333333333"/>
    <n v="6691.833333333333"/>
  </r>
  <r>
    <s v="September"/>
    <x v="2"/>
    <n v="59"/>
    <n v="60313"/>
    <n v="25498"/>
    <n v="43335"/>
    <n v="1066"/>
    <n v="425"/>
    <n v="723"/>
    <n v="2214"/>
    <n v="37.525423728813557"/>
    <n v="164.27"/>
    <n v="240"/>
    <n v="417.4"/>
    <n v="1.5499999999999829"/>
    <n v="3.6200000000000045"/>
    <n v="5.7000000000000455"/>
    <n v="10.870000000000033"/>
    <n v="0.18423728813559379"/>
    <m/>
    <n v="6107.3928571428569"/>
    <n v="59254"/>
    <n v="1174.3333333333333"/>
    <n v="7281.7261904761899"/>
  </r>
  <r>
    <s v="Oktober"/>
    <x v="2"/>
    <n v="59"/>
    <n v="61379"/>
    <n v="25923"/>
    <n v="44058"/>
    <n v="1079"/>
    <n v="502"/>
    <n v="841"/>
    <n v="2422"/>
    <n v="41.050847457627121"/>
    <n v="165.82"/>
    <n v="243.62"/>
    <n v="423.1"/>
    <n v="1.8100000000000023"/>
    <n v="4.3199999999999932"/>
    <n v="8"/>
    <n v="14.129999999999995"/>
    <n v="0.23949152542372873"/>
    <m/>
    <m/>
    <m/>
    <m/>
    <n v="7228.333333333333"/>
  </r>
  <r>
    <s v="November"/>
    <x v="2"/>
    <n v="59"/>
    <n v="62458"/>
    <n v="26425"/>
    <n v="44899"/>
    <n v="1143"/>
    <n v="413"/>
    <n v="604"/>
    <n v="2160"/>
    <n v="36.610169491525426"/>
    <n v="167.63"/>
    <n v="247.94"/>
    <n v="431.1"/>
    <n v="1.6599999999999966"/>
    <n v="3.8700000000000045"/>
    <n v="4.3799999999999955"/>
    <n v="9.9099999999999966"/>
    <n v="0.16796610169491519"/>
    <m/>
    <m/>
    <m/>
    <m/>
    <n v="7228.333333333333"/>
  </r>
  <r>
    <s v="Dezember"/>
    <x v="2"/>
    <n v="59"/>
    <n v="63601"/>
    <n v="26838"/>
    <n v="45503"/>
    <n v="1255"/>
    <n v="514"/>
    <n v="781"/>
    <n v="2550"/>
    <n v="43.220338983050844"/>
    <n v="169.29"/>
    <n v="251.81"/>
    <n v="435.48"/>
    <n v="1.5600000000000023"/>
    <n v="3.6200000000000045"/>
    <n v="7.5199999999999818"/>
    <n v="12.699999999999989"/>
    <n v="0.21525423728813539"/>
    <m/>
    <m/>
    <m/>
    <m/>
    <n v="7228.333333333333"/>
  </r>
  <r>
    <s v="Januar"/>
    <x v="3"/>
    <n v="66"/>
    <n v="64856"/>
    <n v="27352"/>
    <n v="46284"/>
    <n v="977"/>
    <n v="401"/>
    <n v="593"/>
    <n v="1971"/>
    <n v="29.863636363636363"/>
    <n v="170.85"/>
    <n v="255.43"/>
    <n v="443"/>
    <n v="2.3900000000000148"/>
    <n v="4.1999999999999886"/>
    <n v="7.0299999999999727"/>
    <n v="13.619999999999976"/>
    <n v="0.206363636363636"/>
    <m/>
    <m/>
    <m/>
    <m/>
    <n v="6655.333333333333"/>
  </r>
  <r>
    <s v="Februar"/>
    <x v="3"/>
    <n v="66"/>
    <n v="65833"/>
    <n v="27753"/>
    <n v="46877"/>
    <n v="881"/>
    <n v="347"/>
    <n v="479"/>
    <n v="1707"/>
    <n v="25.863636363636363"/>
    <n v="173.24"/>
    <n v="259.63"/>
    <n v="450.03"/>
    <n v="1.5199999999999818"/>
    <n v="2.4200000000000159"/>
    <n v="5.5800000000000409"/>
    <n v="9.5200000000000387"/>
    <n v="0.14424242424242484"/>
    <m/>
    <m/>
    <m/>
    <m/>
    <n v="6655.333333333333"/>
  </r>
  <r>
    <s v="März"/>
    <x v="3"/>
    <n v="66"/>
    <n v="66714"/>
    <n v="28100"/>
    <n v="47356"/>
    <n v="1150"/>
    <n v="434"/>
    <n v="627"/>
    <n v="2211"/>
    <n v="33.5"/>
    <n v="174.76"/>
    <n v="262.05"/>
    <n v="455.61"/>
    <n v="2.7000000000000171"/>
    <n v="4.9099999999999682"/>
    <n v="6.6100000000000136"/>
    <n v="14.219999999999999"/>
    <n v="0.21545454545454543"/>
    <m/>
    <m/>
    <m/>
    <m/>
    <n v="6655.333333333333"/>
  </r>
  <r>
    <s v="April"/>
    <x v="3"/>
    <n v="66"/>
    <n v="67864"/>
    <n v="28534"/>
    <n v="47983"/>
    <n v="986"/>
    <n v="338"/>
    <n v="509"/>
    <n v="1833"/>
    <n v="27.772727272727273"/>
    <n v="177.46"/>
    <n v="266.95999999999998"/>
    <n v="462.22"/>
    <n v="2.0300000000000011"/>
    <n v="3.0300000000000296"/>
    <n v="7.3799999999999955"/>
    <n v="12.440000000000026"/>
    <n v="0.18848484848484889"/>
    <m/>
    <m/>
    <m/>
    <m/>
    <n v="6861"/>
  </r>
  <r>
    <s v="Mai "/>
    <x v="3"/>
    <n v="66"/>
    <n v="68850"/>
    <n v="28872"/>
    <n v="48492"/>
    <n v="1053"/>
    <n v="377"/>
    <n v="566"/>
    <n v="1996"/>
    <n v="30.242424242424242"/>
    <n v="179.49"/>
    <n v="269.99"/>
    <n v="469.6"/>
    <n v="2.7199999999999989"/>
    <n v="4.9900000000000091"/>
    <n v="6.2199999999999704"/>
    <n v="13.929999999999978"/>
    <n v="0.21106060606060573"/>
    <m/>
    <m/>
    <m/>
    <m/>
    <n v="6861"/>
  </r>
  <r>
    <s v="Juni"/>
    <x v="3"/>
    <n v="66"/>
    <n v="69903"/>
    <n v="29249"/>
    <n v="49058"/>
    <n v="842"/>
    <n v="318"/>
    <n v="422"/>
    <n v="1582"/>
    <n v="23.969696969696969"/>
    <n v="182.21"/>
    <n v="274.98"/>
    <n v="475.82"/>
    <n v="1.3400000000000034"/>
    <n v="2.6399999999999864"/>
    <n v="4.8899999999999864"/>
    <n v="8.8699999999999761"/>
    <n v="0.13439393939393904"/>
    <m/>
    <m/>
    <m/>
    <m/>
    <n v="6861"/>
  </r>
  <r>
    <s v="Juli"/>
    <x v="3"/>
    <n v="66"/>
    <n v="70745"/>
    <n v="29567"/>
    <n v="49480"/>
    <n v="1267"/>
    <n v="422"/>
    <n v="619"/>
    <n v="2308"/>
    <n v="34.969696969696969"/>
    <n v="183.55"/>
    <n v="277.62"/>
    <n v="480.71"/>
    <n v="2.7299999999999898"/>
    <n v="3.9699999999999704"/>
    <n v="6.4500000000000455"/>
    <n v="13.150000000000006"/>
    <n v="0.19924242424242433"/>
    <m/>
    <m/>
    <m/>
    <m/>
    <n v="6984.333333333333"/>
  </r>
  <r>
    <s v="August"/>
    <x v="3"/>
    <n v="66"/>
    <n v="72012"/>
    <n v="29989"/>
    <n v="50099"/>
    <n v="902"/>
    <n v="348"/>
    <n v="524"/>
    <n v="1774"/>
    <n v="26.878787878787879"/>
    <n v="186.28"/>
    <n v="281.58999999999997"/>
    <n v="487.16"/>
    <n v="1.7199999999999989"/>
    <n v="3.0800000000000409"/>
    <n v="5.25"/>
    <n v="10.05000000000004"/>
    <n v="0.15227272727272786"/>
    <m/>
    <m/>
    <m/>
    <m/>
    <n v="6984.333333333333"/>
  </r>
  <r>
    <s v="September"/>
    <x v="3"/>
    <n v="66"/>
    <n v="72914"/>
    <n v="30337"/>
    <n v="50623"/>
    <n v="994"/>
    <n v="471"/>
    <n v="635"/>
    <n v="2100"/>
    <n v="31.818181818181817"/>
    <n v="188"/>
    <n v="284.67"/>
    <n v="492.41"/>
    <n v="1.710000000000008"/>
    <n v="4.1499999999999773"/>
    <n v="6.0399999999999636"/>
    <n v="11.899999999999949"/>
    <n v="0.18030303030302952"/>
    <m/>
    <m/>
    <m/>
    <m/>
    <n v="6984.333333333333"/>
  </r>
  <r>
    <s v="Oktober"/>
    <x v="3"/>
    <n v="66"/>
    <n v="73908"/>
    <n v="30808"/>
    <n v="51258"/>
    <n v="1005.7777777777778"/>
    <n v="384"/>
    <n v="552.66666666666663"/>
    <n v="1942.4444444444443"/>
    <n v="29.430976430976429"/>
    <n v="189.71"/>
    <n v="288.82"/>
    <n v="498.45"/>
    <n v="2.0955555555555572"/>
    <n v="3.7099999999999986"/>
    <n v="6.1611111111111097"/>
    <n v="11.966666666666665"/>
    <n v="0.18131313131313129"/>
    <m/>
    <m/>
    <m/>
    <m/>
    <n v="6833.5555555555566"/>
  </r>
  <r>
    <s v="November"/>
    <x v="3"/>
    <n v="66"/>
    <m/>
    <m/>
    <m/>
    <n v="1005.7777777777777"/>
    <n v="384"/>
    <n v="552.66666666666674"/>
    <n v="1942.4444444444446"/>
    <n v="29.430976430976433"/>
    <m/>
    <m/>
    <m/>
    <n v="2.0955555555555572"/>
    <n v="3.7099999999999986"/>
    <n v="6.1611111111111097"/>
    <n v="11.966666666666665"/>
    <n v="0.18131313131313129"/>
    <m/>
    <m/>
    <m/>
    <m/>
    <n v="6833.5555555555566"/>
  </r>
  <r>
    <s v="Dezember"/>
    <x v="3"/>
    <n v="66"/>
    <m/>
    <m/>
    <m/>
    <n v="1005.7777777777777"/>
    <n v="384"/>
    <n v="552.66666666666674"/>
    <n v="1942.4444444444446"/>
    <n v="29.430976430976433"/>
    <m/>
    <m/>
    <m/>
    <n v="2.0955555555555567"/>
    <n v="3.7099999999999991"/>
    <n v="6.1611111111111105"/>
    <n v="11.966666666666665"/>
    <n v="0.18131313131313129"/>
    <m/>
    <m/>
    <m/>
    <m/>
    <n v="6833.5555555555566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s v="Januar"/>
    <x v="0"/>
    <n v="46.6"/>
    <n v="25272"/>
    <n v="14829"/>
    <n v="24356"/>
    <n v="1071"/>
    <n v="322"/>
    <n v="580"/>
    <n v="1973"/>
    <n v="42.339055793991413"/>
    <n v="103.85"/>
    <n v="129.63999999999999"/>
    <n v="251.99"/>
    <n v="1.5800000000000125"/>
    <n v="2.8100000000000023"/>
    <n v="4.4599999999999795"/>
    <n v="8.8499999999999943"/>
    <n v="0.18991416309012862"/>
    <n v="210079"/>
    <n v="6839"/>
    <n v="33946"/>
    <n v="810.33333333333326"/>
    <n v="7649.333333333333"/>
    <n v="164.14878397711016"/>
  </r>
  <r>
    <s v="Februar"/>
    <x v="0"/>
    <n v="46.6"/>
    <n v="26343"/>
    <n v="15151"/>
    <n v="24936"/>
    <n v="1128"/>
    <n v="321"/>
    <n v="627"/>
    <n v="2076"/>
    <n v="44.549356223175963"/>
    <n v="105.43"/>
    <n v="132.44999999999999"/>
    <n v="256.45"/>
    <n v="1.9199999999999875"/>
    <n v="3.2900000000000205"/>
    <n v="5.3799999999999955"/>
    <n v="10.590000000000003"/>
    <n v="0.22725321888412023"/>
    <n v="218757"/>
    <n v="8678"/>
    <n v="34270"/>
    <n v="324"/>
    <n v="9002"/>
    <n v="193.17596566523605"/>
  </r>
  <r>
    <s v="März"/>
    <x v="0"/>
    <n v="46.6"/>
    <n v="27471"/>
    <n v="15472"/>
    <n v="25563"/>
    <n v="1018"/>
    <n v="322"/>
    <n v="517"/>
    <n v="1857"/>
    <n v="39.849785407725321"/>
    <n v="107.35"/>
    <n v="135.74"/>
    <n v="261.83"/>
    <n v="1.7199999999999989"/>
    <n v="2.8199999999999932"/>
    <n v="4.6299999999999955"/>
    <n v="9.1699999999999875"/>
    <n v="0.19678111587982805"/>
    <n v="225862"/>
    <n v="7105"/>
    <n v="35154"/>
    <n v="884"/>
    <n v="7989"/>
    <n v="171.43776824034333"/>
  </r>
  <r>
    <s v="April"/>
    <x v="0"/>
    <n v="46.6"/>
    <n v="28489"/>
    <n v="15794"/>
    <n v="26080"/>
    <n v="1054"/>
    <n v="314"/>
    <n v="573"/>
    <n v="1941"/>
    <n v="41.652360515021456"/>
    <n v="109.07"/>
    <n v="138.56"/>
    <n v="266.45999999999998"/>
    <n v="1.5800000000000125"/>
    <n v="3.1299999999999955"/>
    <n v="4.3799999999999955"/>
    <n v="9.0900000000000034"/>
    <n v="0.19506437768240351"/>
    <n v="232801"/>
    <n v="6939"/>
    <n v="36902"/>
    <n v="1748"/>
    <n v="8687"/>
    <n v="186.41630901287553"/>
  </r>
  <r>
    <s v="Mai "/>
    <x v="0"/>
    <n v="54"/>
    <n v="29543"/>
    <n v="16108"/>
    <n v="26653"/>
    <n v="957"/>
    <n v="274"/>
    <n v="488"/>
    <n v="1719"/>
    <n v="31.833333333333332"/>
    <n v="110.65"/>
    <n v="141.69"/>
    <n v="270.83999999999997"/>
    <n v="1.6999999999999886"/>
    <n v="2.4699999999999989"/>
    <n v="3.9700000000000273"/>
    <n v="8.1400000000000148"/>
    <n v="0.15074074074074101"/>
    <n v="243033"/>
    <n v="10232"/>
    <n v="38880"/>
    <n v="1978"/>
    <n v="12210"/>
    <n v="226.11111111111111"/>
  </r>
  <r>
    <s v="Juni"/>
    <x v="0"/>
    <n v="54"/>
    <n v="30500"/>
    <n v="16382"/>
    <n v="27141"/>
    <n v="1039"/>
    <n v="307"/>
    <n v="571"/>
    <n v="1917"/>
    <n v="35.5"/>
    <n v="112.35"/>
    <n v="144.16"/>
    <n v="274.81"/>
    <n v="1.8900000000000006"/>
    <n v="3.8600000000000136"/>
    <n v="5.1000000000000227"/>
    <n v="10.850000000000037"/>
    <n v="0.20092592592592662"/>
    <n v="249500"/>
    <n v="6467"/>
    <n v="39897"/>
    <n v="1017"/>
    <n v="7484"/>
    <n v="138.59259259259258"/>
  </r>
  <r>
    <s v="Juli"/>
    <x v="0"/>
    <n v="54"/>
    <n v="31539"/>
    <n v="16689"/>
    <n v="27712"/>
    <n v="1118"/>
    <n v="392"/>
    <n v="702"/>
    <n v="2212"/>
    <n v="40.962962962962962"/>
    <n v="114.24"/>
    <n v="148.02000000000001"/>
    <n v="279.91000000000003"/>
    <n v="2.460000000000008"/>
    <n v="4.0199999999999818"/>
    <n v="7.589999999999975"/>
    <n v="14.069999999999965"/>
    <n v="0.26055555555555493"/>
    <n v="256361"/>
    <n v="6861"/>
    <n v="40421"/>
    <n v="524"/>
    <n v="7385"/>
    <n v="136.75925925925927"/>
  </r>
  <r>
    <s v="August"/>
    <x v="0"/>
    <n v="54"/>
    <n v="32657"/>
    <n v="17081"/>
    <n v="28414"/>
    <n v="967"/>
    <n v="299"/>
    <n v="523"/>
    <n v="1789"/>
    <n v="33.129629629629626"/>
    <n v="116.7"/>
    <n v="152.04"/>
    <n v="287.5"/>
    <n v="2.5"/>
    <n v="3.0300000000000011"/>
    <n v="3.5799999999999841"/>
    <n v="9.1099999999999852"/>
    <n v="0.16870370370370344"/>
    <n v="266635"/>
    <n v="10274"/>
    <n v="41404"/>
    <n v="983"/>
    <n v="11257"/>
    <n v="208.46296296296296"/>
  </r>
  <r>
    <s v="September"/>
    <x v="0"/>
    <n v="54"/>
    <n v="33624"/>
    <n v="17380"/>
    <n v="28937"/>
    <n v="1167"/>
    <n v="369"/>
    <n v="624"/>
    <n v="2160"/>
    <n v="40"/>
    <n v="119.2"/>
    <n v="155.07"/>
    <n v="291.08"/>
    <n v="2.3999999999999915"/>
    <n v="5.0200000000000102"/>
    <n v="6.6899999999999977"/>
    <n v="14.11"/>
    <n v="0.2612962962962963"/>
    <n v="272800"/>
    <n v="6165"/>
    <n v="41825"/>
    <n v="421"/>
    <n v="6586"/>
    <n v="121.96296296296296"/>
  </r>
  <r>
    <s v="Oktober"/>
    <x v="0"/>
    <n v="54"/>
    <n v="34791"/>
    <n v="17749"/>
    <n v="29561"/>
    <n v="1013"/>
    <n v="323"/>
    <n v="600"/>
    <n v="1936"/>
    <n v="35.851851851851855"/>
    <n v="121.6"/>
    <n v="160.09"/>
    <n v="297.77"/>
    <n v="1.8000000000000114"/>
    <n v="3.3799999999999955"/>
    <n v="4.5200000000000387"/>
    <n v="9.7000000000000455"/>
    <n v="0.17962962962963047"/>
    <n v="282452"/>
    <n v="9652"/>
    <n v="42484"/>
    <n v="659"/>
    <n v="10311"/>
    <n v="190.94444444444446"/>
  </r>
  <r>
    <s v="November"/>
    <x v="0"/>
    <n v="54"/>
    <n v="35804"/>
    <n v="18072"/>
    <n v="30161"/>
    <n v="1069"/>
    <n v="289"/>
    <n v="577"/>
    <n v="1935"/>
    <n v="35.833333333333336"/>
    <n v="123.4"/>
    <n v="163.47"/>
    <n v="302.29000000000002"/>
    <n v="1.2999999999999972"/>
    <n v="2.0699999999999932"/>
    <n v="4.3799999999999955"/>
    <n v="7.7499999999999858"/>
    <n v="0.14351851851851827"/>
    <n v="291687"/>
    <n v="9235"/>
    <n v="42966"/>
    <n v="482"/>
    <n v="9717"/>
    <n v="179.94444444444446"/>
  </r>
  <r>
    <s v="Dezember"/>
    <x v="0"/>
    <n v="54"/>
    <n v="36873"/>
    <n v="18361"/>
    <n v="30738"/>
    <n v="1106"/>
    <n v="352"/>
    <n v="607"/>
    <n v="2065"/>
    <n v="38.24074074074074"/>
    <n v="124.7"/>
    <n v="165.54"/>
    <n v="306.67"/>
    <n v="1.6199999999999903"/>
    <n v="3.8300000000000125"/>
    <n v="4.8599999999999568"/>
    <n v="10.30999999999996"/>
    <n v="0.19092592592592517"/>
    <n v="297622"/>
    <n v="5935"/>
    <n v="43357"/>
    <n v="391"/>
    <n v="6326"/>
    <n v="117.14814814814815"/>
  </r>
  <r>
    <s v="Januar"/>
    <x v="1"/>
    <n v="55"/>
    <n v="37979"/>
    <n v="18713"/>
    <n v="31345"/>
    <n v="1089"/>
    <n v="289"/>
    <n v="537"/>
    <n v="1915"/>
    <n v="34.81818181818182"/>
    <n v="126.32"/>
    <n v="169.37"/>
    <n v="311.52999999999997"/>
    <n v="1.6600000000000108"/>
    <n v="2.7400000000000091"/>
    <n v="4.8700000000000045"/>
    <n v="9.2700000000000244"/>
    <n v="0.168545454545455"/>
    <n v="306520"/>
    <n v="8898"/>
    <n v="44405"/>
    <n v="1048"/>
    <n v="9946"/>
    <n v="180.83636363636364"/>
  </r>
  <r>
    <s v="Februar"/>
    <x v="1"/>
    <n v="55"/>
    <n v="39068"/>
    <n v="19002"/>
    <n v="31882"/>
    <n v="1117"/>
    <n v="326"/>
    <n v="616"/>
    <n v="2059"/>
    <n v="37.436363636363637"/>
    <n v="127.98"/>
    <n v="172.11"/>
    <n v="316.39999999999998"/>
    <n v="1.7399999999999949"/>
    <n v="3.8599999999999852"/>
    <n v="5.5"/>
    <n v="11.09999999999998"/>
    <n v="0.20181818181818145"/>
    <n v="311950"/>
    <n v="5430"/>
    <n v="44748"/>
    <n v="343"/>
    <n v="5773"/>
    <n v="104.96363636363637"/>
  </r>
  <r>
    <s v="März"/>
    <x v="1"/>
    <n v="55"/>
    <n v="40185"/>
    <n v="19328"/>
    <n v="32498"/>
    <n v="877"/>
    <n v="235"/>
    <n v="456"/>
    <n v="1568"/>
    <n v="28.509090909090908"/>
    <n v="129.72"/>
    <n v="175.97"/>
    <n v="321.89999999999998"/>
    <n v="1.4399999999999977"/>
    <n v="2.2400000000000091"/>
    <n v="4.2900000000000205"/>
    <n v="7.9700000000000273"/>
    <n v="0.1449090909090914"/>
    <n v="317272"/>
    <n v="5322"/>
    <n v="45702"/>
    <n v="954"/>
    <n v="6276"/>
    <n v="114.10909090909091"/>
  </r>
  <r>
    <s v="April"/>
    <x v="1"/>
    <n v="55"/>
    <n v="41062"/>
    <n v="19563"/>
    <n v="32954"/>
    <n v="954"/>
    <n v="259"/>
    <n v="538"/>
    <n v="1751"/>
    <n v="31.836363636363636"/>
    <n v="131.16"/>
    <n v="178.21"/>
    <n v="326.19"/>
    <n v="1.8199999999999932"/>
    <n v="2.7699999999999818"/>
    <n v="5.5099999999999909"/>
    <n v="10.099999999999966"/>
    <n v="0.18363636363636301"/>
    <n v="322912"/>
    <n v="5640"/>
    <n v="45827"/>
    <n v="125"/>
    <n v="5765"/>
    <n v="104.81818181818181"/>
  </r>
  <r>
    <s v="Mai "/>
    <x v="1"/>
    <n v="55"/>
    <n v="42016"/>
    <n v="19822"/>
    <n v="33492"/>
    <n v="982"/>
    <n v="282"/>
    <n v="527"/>
    <n v="1791"/>
    <n v="32.563636363636363"/>
    <n v="132.97999999999999"/>
    <n v="180.98"/>
    <n v="331.7"/>
    <n v="1.6300000000000239"/>
    <n v="2.9000000000000057"/>
    <n v="6.1700000000000159"/>
    <n v="10.700000000000045"/>
    <n v="0.19454545454545538"/>
    <n v="328564"/>
    <n v="5652"/>
    <n v="45947"/>
    <n v="120"/>
    <n v="5772"/>
    <n v="104.94545454545455"/>
  </r>
  <r>
    <s v="Juni"/>
    <x v="1"/>
    <n v="55"/>
    <n v="42998"/>
    <n v="20104"/>
    <n v="34019"/>
    <n v="1330"/>
    <n v="308"/>
    <n v="561"/>
    <n v="2199"/>
    <n v="39.981818181818184"/>
    <n v="134.61000000000001"/>
    <n v="183.88"/>
    <n v="337.87"/>
    <n v="2.8699999999999761"/>
    <n v="3.9900000000000091"/>
    <n v="4.7199999999999704"/>
    <n v="11.579999999999956"/>
    <n v="0.21054545454545373"/>
    <n v="335699"/>
    <n v="7135"/>
    <n v="46118"/>
    <n v="171"/>
    <n v="7306"/>
    <n v="132.83636363636364"/>
  </r>
  <r>
    <s v="Juli"/>
    <x v="1"/>
    <n v="55"/>
    <n v="44328"/>
    <n v="20412"/>
    <n v="34580"/>
    <n v="1316"/>
    <n v="287"/>
    <n v="572"/>
    <n v="2175"/>
    <n v="39.545454545454547"/>
    <n v="137.47999999999999"/>
    <n v="187.87"/>
    <n v="342.59"/>
    <n v="1.8100000000000023"/>
    <n v="3.3599999999999852"/>
    <n v="7.0600000000000023"/>
    <n v="12.22999999999999"/>
    <n v="0.22236363636363618"/>
    <n v="343804"/>
    <n v="8105"/>
    <n v="46581"/>
    <n v="463"/>
    <n v="8568"/>
    <n v="155.78181818181818"/>
  </r>
  <r>
    <s v="August"/>
    <x v="1"/>
    <n v="55"/>
    <n v="45644"/>
    <n v="20699"/>
    <n v="35152"/>
    <n v="1223"/>
    <n v="275"/>
    <n v="518"/>
    <n v="2016"/>
    <n v="36.654545454545456"/>
    <n v="139.29"/>
    <n v="191.23"/>
    <n v="349.65"/>
    <n v="1.8700000000000045"/>
    <n v="2.5700000000000216"/>
    <n v="3.8600000000000136"/>
    <n v="8.3000000000000398"/>
    <n v="0.15090909090909163"/>
    <m/>
    <n v="7843.25"/>
    <m/>
    <n v="1090"/>
    <n v="8933.25"/>
    <n v="162.42272727272729"/>
  </r>
  <r>
    <s v="September"/>
    <x v="1"/>
    <n v="55"/>
    <n v="46867"/>
    <n v="20974"/>
    <n v="35670"/>
    <n v="1401"/>
    <n v="328"/>
    <n v="583"/>
    <n v="2312"/>
    <n v="42.036363636363639"/>
    <n v="141.16"/>
    <n v="193.8"/>
    <n v="353.51"/>
    <n v="2.2000000000000171"/>
    <n v="4"/>
    <n v="5.6299999999999955"/>
    <n v="11.830000000000013"/>
    <n v="0.2150909090909093"/>
    <m/>
    <n v="7843.25"/>
    <m/>
    <n v="1090"/>
    <n v="8933.25"/>
    <n v="162.42272727272729"/>
  </r>
  <r>
    <s v="Oktober"/>
    <x v="1"/>
    <n v="55"/>
    <n v="48268"/>
    <n v="21302"/>
    <n v="36253"/>
    <n v="1312"/>
    <n v="443"/>
    <n v="607"/>
    <n v="2362"/>
    <n v="42.945454545454545"/>
    <n v="143.36000000000001"/>
    <n v="197.8"/>
    <n v="359.14"/>
    <n v="1.539999999999992"/>
    <n v="4.1699999999999875"/>
    <n v="4.5400000000000205"/>
    <n v="10.25"/>
    <n v="0.18636363636363637"/>
    <m/>
    <n v="7843.25"/>
    <m/>
    <n v="1090"/>
    <n v="8933.25"/>
    <n v="162.42272727272729"/>
  </r>
  <r>
    <s v="November"/>
    <x v="1"/>
    <n v="55"/>
    <n v="49580"/>
    <n v="21745"/>
    <n v="36860"/>
    <n v="1130"/>
    <n v="358"/>
    <n v="610"/>
    <n v="2098"/>
    <n v="38.145454545454548"/>
    <n v="144.9"/>
    <n v="201.97"/>
    <n v="363.68"/>
    <n v="1.4899999999999807"/>
    <n v="3.2800000000000011"/>
    <n v="5.0799999999999841"/>
    <n v="9.8499999999999659"/>
    <n v="0.17909090909090847"/>
    <n v="375177"/>
    <n v="7843.25"/>
    <n v="50941"/>
    <n v="1090"/>
    <n v="8933.25"/>
    <n v="162.42272727272729"/>
  </r>
  <r>
    <s v="Dezember"/>
    <x v="1"/>
    <n v="55"/>
    <n v="50710"/>
    <n v="22103"/>
    <n v="37470"/>
    <n v="1173"/>
    <n v="449"/>
    <n v="635"/>
    <n v="2257"/>
    <n v="41.036363636363639"/>
    <n v="146.38999999999999"/>
    <n v="205.25"/>
    <n v="368.76"/>
    <n v="1.6500000000000057"/>
    <n v="3.75"/>
    <n v="4.7300000000000182"/>
    <n v="10.130000000000024"/>
    <n v="0.18418181818181861"/>
    <n v="378956"/>
    <n v="3779"/>
    <n v="51199"/>
    <n v="258"/>
    <n v="4037"/>
    <n v="73.400000000000006"/>
  </r>
  <r>
    <s v="Januar"/>
    <x v="2"/>
    <n v="59"/>
    <n v="51883"/>
    <n v="22552"/>
    <n v="38105"/>
    <n v="1127"/>
    <n v="367"/>
    <n v="530"/>
    <n v="2024"/>
    <n v="34.305084745762713"/>
    <n v="148.04"/>
    <n v="209"/>
    <n v="373.49"/>
    <n v="1.7400000000000091"/>
    <n v="3.7299999999999898"/>
    <n v="4.7400000000000091"/>
    <n v="10.210000000000008"/>
    <n v="0.17305084745762725"/>
    <m/>
    <n v="4180.333333333333"/>
    <m/>
    <n v="168"/>
    <n v="4348.333333333333"/>
    <n v="73.700564971751405"/>
  </r>
  <r>
    <s v="Februar"/>
    <x v="2"/>
    <n v="59"/>
    <n v="53010"/>
    <n v="22919"/>
    <n v="38635"/>
    <n v="1065"/>
    <n v="410"/>
    <n v="599"/>
    <n v="2074"/>
    <n v="35.152542372881356"/>
    <n v="149.78"/>
    <n v="212.73"/>
    <n v="378.23"/>
    <n v="1.8300000000000125"/>
    <n v="4.0600000000000023"/>
    <n v="6.5799999999999841"/>
    <n v="12.469999999999999"/>
    <n v="0.2113559322033898"/>
    <m/>
    <n v="4180.333333333333"/>
    <m/>
    <n v="168"/>
    <n v="4348.333333333333"/>
    <n v="73.700564971751405"/>
  </r>
  <r>
    <s v="März"/>
    <x v="2"/>
    <n v="59"/>
    <n v="54075"/>
    <n v="23329"/>
    <n v="39234"/>
    <n v="1047"/>
    <n v="330"/>
    <n v="583"/>
    <n v="1960"/>
    <n v="33.220338983050844"/>
    <n v="151.61000000000001"/>
    <n v="216.79"/>
    <n v="384.81"/>
    <n v="2.289999999999992"/>
    <n v="3.6500000000000057"/>
    <n v="4.4499999999999886"/>
    <n v="10.389999999999986"/>
    <n v="0.17610169491525401"/>
    <n v="391497"/>
    <n v="4180.333333333333"/>
    <n v="51703"/>
    <n v="168"/>
    <n v="4348.333333333333"/>
    <n v="73.700564971751405"/>
  </r>
  <r>
    <s v="April"/>
    <x v="2"/>
    <n v="59"/>
    <n v="55122"/>
    <n v="23659"/>
    <n v="39817"/>
    <n v="1045"/>
    <n v="338"/>
    <n v="661"/>
    <n v="2044"/>
    <n v="34.644067796610166"/>
    <n v="153.9"/>
    <n v="220.44"/>
    <n v="389.26"/>
    <n v="2.0099999999999909"/>
    <n v="3.210000000000008"/>
    <n v="4.4300000000000068"/>
    <n v="9.6500000000000057"/>
    <n v="0.16355932203389839"/>
    <m/>
    <n v="8427.7142857142862"/>
    <m/>
    <n v="1150.8571428571429"/>
    <n v="9578.5714285714294"/>
    <n v="162.34866828087169"/>
  </r>
  <r>
    <s v="Mai "/>
    <x v="2"/>
    <n v="59"/>
    <n v="56167"/>
    <n v="23997"/>
    <n v="40478"/>
    <n v="1038.5"/>
    <n v="362"/>
    <n v="694.5"/>
    <n v="2095"/>
    <n v="35.508474576271183"/>
    <n v="155.91"/>
    <n v="223.65"/>
    <n v="393.69"/>
    <n v="2.1200000000000045"/>
    <n v="4.1199999999999903"/>
    <n v="5.2350000000000136"/>
    <n v="11.475000000000009"/>
    <n v="0.19449152542372897"/>
    <m/>
    <n v="8427.7142857142862"/>
    <m/>
    <n v="1150.8571428571429"/>
    <n v="9578.5714285714294"/>
    <n v="162.34866828087169"/>
  </r>
  <r>
    <s v="Juni"/>
    <x v="2"/>
    <n v="59"/>
    <m/>
    <m/>
    <m/>
    <n v="1038.5"/>
    <n v="362"/>
    <n v="694.5"/>
    <n v="2095"/>
    <n v="35.508474576271183"/>
    <m/>
    <m/>
    <m/>
    <n v="2.1200000000000045"/>
    <n v="4.1199999999999903"/>
    <n v="5.2350000000000136"/>
    <n v="11.475000000000009"/>
    <n v="0.19449152542372897"/>
    <n v="420994"/>
    <n v="8427.7142857142862"/>
    <n v="55731"/>
    <n v="1150.8571428571429"/>
    <n v="9578.5714285714294"/>
    <n v="162.34866828087169"/>
  </r>
  <r>
    <s v="Juli"/>
    <x v="2"/>
    <n v="59"/>
    <n v="58244"/>
    <n v="24721"/>
    <n v="41867"/>
    <n v="1027"/>
    <n v="390"/>
    <n v="708"/>
    <n v="2125"/>
    <n v="36.016949152542374"/>
    <n v="160.15"/>
    <n v="231.89"/>
    <n v="404.16"/>
    <n v="2.0099999999999909"/>
    <n v="3.8200000000000216"/>
    <n v="6.4399999999999977"/>
    <n v="12.27000000000001"/>
    <n v="0.20796610169491542"/>
    <m/>
    <n v="5517.5"/>
    <m/>
    <n v="1174.3333333333333"/>
    <n v="6691.833333333333"/>
    <n v="113.42090395480226"/>
  </r>
  <r>
    <s v="August"/>
    <x v="2"/>
    <n v="59"/>
    <n v="59271"/>
    <n v="25111"/>
    <n v="42575"/>
    <n v="1042"/>
    <n v="387"/>
    <n v="760"/>
    <n v="2189"/>
    <n v="37.101694915254235"/>
    <n v="162.16"/>
    <n v="235.71"/>
    <n v="410.6"/>
    <n v="2.1100000000000136"/>
    <n v="4.289999999999992"/>
    <n v="6.7999999999999545"/>
    <n v="13.19999999999996"/>
    <n v="0.22372881355932137"/>
    <n v="11035"/>
    <n v="5517.5"/>
    <m/>
    <n v="1174.3333333333333"/>
    <n v="6691.833333333333"/>
    <n v="113.42090395480226"/>
  </r>
  <r>
    <s v="September"/>
    <x v="2"/>
    <n v="59"/>
    <n v="60313"/>
    <n v="25498"/>
    <n v="43335"/>
    <n v="1066"/>
    <n v="425"/>
    <n v="723"/>
    <n v="2214"/>
    <n v="37.525423728813557"/>
    <n v="164.27"/>
    <n v="240"/>
    <n v="417.4"/>
    <n v="1.5499999999999829"/>
    <n v="3.6200000000000045"/>
    <n v="5.7000000000000455"/>
    <n v="10.870000000000033"/>
    <n v="0.18423728813559379"/>
    <m/>
    <n v="6107.3928571428569"/>
    <n v="59254"/>
    <n v="1174.3333333333333"/>
    <n v="7281.7261904761899"/>
    <n v="123.41908797417271"/>
  </r>
  <r>
    <s v="Oktober"/>
    <x v="2"/>
    <n v="59"/>
    <n v="61379"/>
    <n v="25923"/>
    <n v="44058"/>
    <n v="1079"/>
    <n v="502"/>
    <n v="841"/>
    <n v="2422"/>
    <n v="41.050847457627121"/>
    <n v="165.82"/>
    <n v="243.62"/>
    <n v="423.1"/>
    <n v="1.8100000000000023"/>
    <n v="4.3199999999999932"/>
    <n v="8"/>
    <n v="14.129999999999995"/>
    <n v="0.23949152542372873"/>
    <m/>
    <m/>
    <m/>
    <m/>
    <n v="7228.333333333333"/>
    <n v="122.5141242937853"/>
  </r>
  <r>
    <s v="November"/>
    <x v="2"/>
    <n v="59"/>
    <n v="62458"/>
    <n v="26425"/>
    <n v="44899"/>
    <n v="1143"/>
    <n v="413"/>
    <n v="604"/>
    <n v="2160"/>
    <n v="36.610169491525426"/>
    <n v="167.63"/>
    <n v="247.94"/>
    <n v="431.1"/>
    <n v="1.6599999999999966"/>
    <n v="3.8700000000000045"/>
    <n v="4.3799999999999955"/>
    <n v="9.9099999999999966"/>
    <n v="0.16796610169491519"/>
    <m/>
    <m/>
    <m/>
    <m/>
    <n v="7228.333333333333"/>
    <n v="122.5141242937853"/>
  </r>
  <r>
    <s v="Dezember"/>
    <x v="2"/>
    <n v="59"/>
    <n v="63601"/>
    <n v="26838"/>
    <n v="45503"/>
    <n v="1255"/>
    <n v="514"/>
    <n v="781"/>
    <n v="2550"/>
    <n v="43.220338983050844"/>
    <n v="169.29"/>
    <n v="251.81"/>
    <n v="435.48"/>
    <n v="1.5600000000000023"/>
    <n v="3.6200000000000045"/>
    <n v="7.5199999999999818"/>
    <n v="12.699999999999989"/>
    <n v="0.21525423728813539"/>
    <m/>
    <m/>
    <m/>
    <m/>
    <n v="7228.333333333333"/>
    <n v="122.5141242937853"/>
  </r>
  <r>
    <s v="Januar"/>
    <x v="3"/>
    <n v="66"/>
    <n v="64856"/>
    <n v="27352"/>
    <n v="46284"/>
    <n v="977"/>
    <n v="401"/>
    <n v="593"/>
    <n v="1971"/>
    <n v="29.863636363636363"/>
    <n v="170.85"/>
    <n v="255.43"/>
    <n v="443"/>
    <n v="2.3900000000000148"/>
    <n v="4.1999999999999886"/>
    <n v="7.0299999999999727"/>
    <n v="13.619999999999976"/>
    <n v="0.206363636363636"/>
    <m/>
    <m/>
    <m/>
    <m/>
    <n v="6655.333333333333"/>
    <n v="100.83838383838383"/>
  </r>
  <r>
    <s v="Februar"/>
    <x v="3"/>
    <n v="66"/>
    <n v="65833"/>
    <n v="27753"/>
    <n v="46877"/>
    <n v="881"/>
    <n v="347"/>
    <n v="479"/>
    <n v="1707"/>
    <n v="25.863636363636363"/>
    <n v="173.24"/>
    <n v="259.63"/>
    <n v="450.03"/>
    <n v="1.5199999999999818"/>
    <n v="2.4200000000000159"/>
    <n v="5.5800000000000409"/>
    <n v="9.5200000000000387"/>
    <n v="0.14424242424242484"/>
    <m/>
    <m/>
    <m/>
    <m/>
    <n v="6655.333333333333"/>
    <n v="100.83838383838383"/>
  </r>
  <r>
    <s v="März"/>
    <x v="3"/>
    <n v="66"/>
    <n v="66714"/>
    <n v="28100"/>
    <n v="47356"/>
    <n v="1150"/>
    <n v="434"/>
    <n v="627"/>
    <n v="2211"/>
    <n v="33.5"/>
    <n v="174.76"/>
    <n v="262.05"/>
    <n v="455.61"/>
    <n v="2.7000000000000171"/>
    <n v="4.9099999999999682"/>
    <n v="6.6100000000000136"/>
    <n v="14.219999999999999"/>
    <n v="0.21545454545454543"/>
    <m/>
    <m/>
    <m/>
    <m/>
    <n v="6655.333333333333"/>
    <n v="100.83838383838383"/>
  </r>
  <r>
    <s v="April"/>
    <x v="3"/>
    <n v="66"/>
    <n v="67864"/>
    <n v="28534"/>
    <n v="47983"/>
    <n v="986"/>
    <n v="338"/>
    <n v="509"/>
    <n v="1833"/>
    <n v="27.772727272727273"/>
    <n v="177.46"/>
    <n v="266.95999999999998"/>
    <n v="462.22"/>
    <n v="2.0300000000000011"/>
    <n v="3.0300000000000296"/>
    <n v="7.3799999999999955"/>
    <n v="12.440000000000026"/>
    <n v="0.18848484848484889"/>
    <m/>
    <m/>
    <m/>
    <m/>
    <n v="6861"/>
    <n v="103.95454545454545"/>
  </r>
  <r>
    <s v="Mai "/>
    <x v="3"/>
    <n v="66"/>
    <n v="68850"/>
    <n v="28872"/>
    <n v="48492"/>
    <n v="1053"/>
    <n v="377"/>
    <n v="566"/>
    <n v="1996"/>
    <n v="30.242424242424242"/>
    <n v="179.49"/>
    <n v="269.99"/>
    <n v="469.6"/>
    <n v="2.7199999999999989"/>
    <n v="4.9900000000000091"/>
    <n v="6.2199999999999704"/>
    <n v="13.929999999999978"/>
    <n v="0.21106060606060573"/>
    <m/>
    <m/>
    <m/>
    <m/>
    <n v="6861"/>
    <n v="103.95454545454545"/>
  </r>
  <r>
    <s v="Juni"/>
    <x v="3"/>
    <n v="66"/>
    <n v="69903"/>
    <n v="29249"/>
    <n v="49058"/>
    <n v="842"/>
    <n v="318"/>
    <n v="422"/>
    <n v="1582"/>
    <n v="23.969696969696969"/>
    <n v="182.21"/>
    <n v="274.98"/>
    <n v="475.82"/>
    <n v="1.3400000000000034"/>
    <n v="2.6399999999999864"/>
    <n v="4.8899999999999864"/>
    <n v="8.8699999999999761"/>
    <n v="0.13439393939393904"/>
    <m/>
    <m/>
    <m/>
    <m/>
    <n v="6861"/>
    <n v="103.95454545454545"/>
  </r>
  <r>
    <s v="Juli"/>
    <x v="3"/>
    <n v="66"/>
    <n v="70745"/>
    <n v="29567"/>
    <n v="49480"/>
    <n v="1267"/>
    <n v="422"/>
    <n v="619"/>
    <n v="2308"/>
    <n v="34.969696969696969"/>
    <n v="183.55"/>
    <n v="277.62"/>
    <n v="480.71"/>
    <n v="2.7299999999999898"/>
    <n v="3.9699999999999704"/>
    <n v="6.4500000000000455"/>
    <n v="13.150000000000006"/>
    <n v="0.19924242424242433"/>
    <m/>
    <m/>
    <m/>
    <m/>
    <n v="6984.333333333333"/>
    <n v="105.82323232323232"/>
  </r>
  <r>
    <s v="August"/>
    <x v="3"/>
    <n v="66"/>
    <n v="72012"/>
    <n v="29989"/>
    <n v="50099"/>
    <n v="902"/>
    <n v="348"/>
    <n v="524"/>
    <n v="1774"/>
    <n v="26.878787878787879"/>
    <n v="186.28"/>
    <n v="281.58999999999997"/>
    <n v="487.16"/>
    <n v="1.7199999999999989"/>
    <n v="3.0800000000000409"/>
    <n v="5.25"/>
    <n v="10.05000000000004"/>
    <n v="0.15227272727272786"/>
    <m/>
    <m/>
    <m/>
    <m/>
    <n v="6984.333333333333"/>
    <n v="105.82323232323232"/>
  </r>
  <r>
    <s v="September"/>
    <x v="3"/>
    <n v="66"/>
    <n v="72914"/>
    <n v="30337"/>
    <n v="50623"/>
    <n v="994"/>
    <n v="471"/>
    <n v="635"/>
    <n v="2100"/>
    <n v="31.818181818181817"/>
    <n v="188"/>
    <n v="284.67"/>
    <n v="492.41"/>
    <n v="1.710000000000008"/>
    <n v="4.1499999999999773"/>
    <n v="6.0399999999999636"/>
    <n v="11.899999999999949"/>
    <n v="0.18030303030302952"/>
    <m/>
    <m/>
    <m/>
    <m/>
    <n v="6984.333333333333"/>
    <n v="105.82323232323232"/>
  </r>
  <r>
    <s v="Oktober"/>
    <x v="3"/>
    <n v="66"/>
    <n v="73908"/>
    <n v="30808"/>
    <n v="51258"/>
    <n v="1005.7777777777778"/>
    <n v="384"/>
    <n v="552.66666666666663"/>
    <n v="1942.4444444444443"/>
    <n v="29.430976430976429"/>
    <n v="189.71"/>
    <n v="288.82"/>
    <n v="498.45"/>
    <n v="2.0955555555555572"/>
    <n v="3.7099999999999986"/>
    <n v="6.1611111111111097"/>
    <n v="11.966666666666665"/>
    <n v="0.18131313131313129"/>
    <m/>
    <m/>
    <m/>
    <m/>
    <n v="6833.5555555555566"/>
    <n v="103.53872053872055"/>
  </r>
  <r>
    <s v="November"/>
    <x v="3"/>
    <n v="66"/>
    <m/>
    <m/>
    <m/>
    <n v="1005.7777777777777"/>
    <n v="384"/>
    <n v="552.66666666666674"/>
    <n v="1942.4444444444446"/>
    <n v="29.430976430976433"/>
    <m/>
    <m/>
    <m/>
    <n v="2.0955555555555572"/>
    <n v="3.7099999999999986"/>
    <n v="6.1611111111111097"/>
    <n v="11.966666666666665"/>
    <n v="0.18131313131313129"/>
    <m/>
    <m/>
    <m/>
    <m/>
    <n v="6833.5555555555566"/>
    <n v="103.53872053872055"/>
  </r>
  <r>
    <s v="Dezember"/>
    <x v="3"/>
    <n v="66"/>
    <m/>
    <m/>
    <m/>
    <n v="1005.7777777777777"/>
    <n v="384"/>
    <n v="552.66666666666674"/>
    <n v="1942.4444444444446"/>
    <n v="29.430976430976433"/>
    <m/>
    <m/>
    <m/>
    <n v="2.0955555555555567"/>
    <n v="3.7099999999999991"/>
    <n v="6.1611111111111105"/>
    <n v="11.966666666666665"/>
    <n v="0.18131313131313129"/>
    <m/>
    <m/>
    <m/>
    <m/>
    <n v="6833.5555555555566"/>
    <n v="103.5387205387205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3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">
  <location ref="A39:E41" firstHeaderRow="1" firstDataRow="2" firstDataCol="1"/>
  <pivotFields count="25"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numFmtId="3" showAll="0"/>
    <pivotField numFmtId="3" showAll="0"/>
    <pivotField numFmtId="3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3" showAll="0"/>
  </pivotFields>
  <rowItems count="1">
    <i/>
  </rowItems>
  <colFields count="1">
    <field x="1"/>
  </colFields>
  <colItems count="4">
    <i>
      <x/>
    </i>
    <i>
      <x v="1"/>
    </i>
    <i>
      <x v="2"/>
    </i>
    <i>
      <x v="3"/>
    </i>
  </colItems>
  <dataFields count="1">
    <dataField name="Average of Verbrauch/Kopf" fld="24" subtotal="average" baseField="1" baseItem="0" numFmtId="3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>
  <location ref="A20:E22" firstHeaderRow="1" firstDataRow="2" firstDataCol="1"/>
  <pivotFields count="24"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numFmtId="3" showAll="0"/>
    <pivotField numFmtId="3" showAll="0"/>
    <pivotField numFmtId="3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1"/>
  </colFields>
  <colItems count="4">
    <i>
      <x/>
    </i>
    <i>
      <x v="1"/>
    </i>
    <i>
      <x v="2"/>
    </i>
    <i>
      <x v="3"/>
    </i>
  </colItems>
  <dataFields count="1">
    <dataField name="Average of Verbrauch total" fld="23" subtotal="average" baseField="1" baseItem="0" numFmtId="1"/>
  </dataFields>
  <formats count="1">
    <format dxfId="8">
      <pivotArea outline="0" collapsedLevelsAreSubtotals="1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>
  <location ref="A1:E3" firstHeaderRow="1" firstDataRow="2" firstDataCol="1"/>
  <pivotFields count="24"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numFmtId="3" showAll="0"/>
    <pivotField numFmtId="3" showAll="0"/>
    <pivotField numFmtId="3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1"/>
  </colFields>
  <colItems count="4">
    <i>
      <x/>
    </i>
    <i>
      <x v="1"/>
    </i>
    <i>
      <x v="2"/>
    </i>
    <i>
      <x v="3"/>
    </i>
  </colItems>
  <dataFields count="1">
    <dataField name="Sum of Verbrauch total" fld="23" baseField="0" baseItem="0" numFmtId="1"/>
  </dataFields>
  <formats count="1">
    <format dxfId="9">
      <pivotArea outline="0" collapsedLevelsAreSubtotals="1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">
  <location ref="A22:E24" firstHeaderRow="1" firstDataRow="2" firstDataCol="1"/>
  <pivotFields count="19"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numFmtId="3" showAll="0"/>
    <pivotField numFmtId="3" showAll="0"/>
    <pivotField numFmtId="3" showAll="0"/>
    <pivotField dataField="1"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numFmtId="164" showAll="0"/>
  </pivotFields>
  <rowItems count="1">
    <i/>
  </rowItems>
  <colFields count="1">
    <field x="1"/>
  </colFields>
  <colItems count="4">
    <i>
      <x/>
    </i>
    <i>
      <x v="1"/>
    </i>
    <i>
      <x v="2"/>
    </i>
    <i>
      <x v="3"/>
    </i>
  </colItems>
  <dataFields count="1">
    <dataField name="Average of Strom Gesamt " fld="9" subtotal="average" baseField="1" baseItem="0" numFmtId="2"/>
  </dataField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>
  <location ref="A4:E6" firstHeaderRow="1" firstDataRow="2" firstDataCol="1"/>
  <pivotFields count="11"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numFmtId="3" showAll="0"/>
    <pivotField numFmtId="3" showAll="0"/>
    <pivotField numFmtId="3" showAll="0"/>
    <pivotField dataField="1" numFmtId="2" showAll="0"/>
    <pivotField numFmtId="2" showAll="0"/>
  </pivotFields>
  <rowItems count="1">
    <i/>
  </rowItems>
  <colFields count="1">
    <field x="1"/>
  </colFields>
  <colItems count="4">
    <i>
      <x/>
    </i>
    <i>
      <x v="1"/>
    </i>
    <i>
      <x v="2"/>
    </i>
    <i>
      <x v="3"/>
    </i>
  </colItems>
  <dataFields count="1">
    <dataField name="Sum of Strom Gesamt _x000a_(kWh)" fld="9" baseField="0" baseItem="0" numFmtId="1"/>
  </dataFields>
  <formats count="1">
    <format dxfId="6">
      <pivotArea outline="0" collapsedLevelsAreSubtotals="1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>
  <location ref="A40:E42" firstHeaderRow="1" firstDataRow="2" firstDataCol="1"/>
  <pivotFields count="11"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numFmtId="3" showAll="0"/>
    <pivotField numFmtId="3" showAll="0"/>
    <pivotField numFmtId="3" showAll="0"/>
    <pivotField numFmtId="2" showAll="0"/>
    <pivotField dataField="1" numFmtId="2" showAll="0"/>
  </pivotFields>
  <rowItems count="1">
    <i/>
  </rowItems>
  <colFields count="1">
    <field x="1"/>
  </colFields>
  <colItems count="4">
    <i>
      <x/>
    </i>
    <i>
      <x v="1"/>
    </i>
    <i>
      <x v="2"/>
    </i>
    <i>
      <x v="3"/>
    </i>
  </colItems>
  <dataFields count="1">
    <dataField name="Average of Stromverbrauch pro Kopf/Monat" fld="10" subtotal="average" baseField="1" baseItem="0" numFmtId="165"/>
  </dataFields>
  <formats count="1">
    <format dxfId="7">
      <pivotArea outline="0" collapsedLevelsAreSubtotals="1" fieldPosition="0"/>
    </format>
  </format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PivotTable7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>
  <location ref="A21:D23" firstHeaderRow="1" firstDataRow="2" firstDataCol="1"/>
  <pivotFields count="5">
    <pivotField showAll="0"/>
    <pivotField axis="axisCol" showAll="0">
      <items count="4">
        <item x="0"/>
        <item x="1"/>
        <item x="2"/>
        <item t="default"/>
      </items>
    </pivotField>
    <pivotField showAll="0"/>
    <pivotField dataField="1" numFmtId="2" showAll="0"/>
    <pivotField showAll="0"/>
  </pivotFields>
  <rowItems count="1">
    <i/>
  </rowItems>
  <colFields count="1">
    <field x="1"/>
  </colFields>
  <colItems count="3">
    <i>
      <x/>
    </i>
    <i>
      <x v="1"/>
    </i>
    <i>
      <x v="2"/>
    </i>
  </colItems>
  <dataFields count="1">
    <dataField name="Average of CO2 kg" fld="3" subtotal="average" baseField="1" baseItem="0" numFmtId="1"/>
  </dataFields>
  <formats count="1">
    <format dxfId="3">
      <pivotArea outline="0" collapsedLevelsAreSubtotals="1" fieldPosition="0"/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PivotTable6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>
  <location ref="A4:D6" firstHeaderRow="1" firstDataRow="2" firstDataCol="1"/>
  <pivotFields count="5">
    <pivotField showAll="0"/>
    <pivotField axis="axisCol" showAll="0">
      <items count="4">
        <item x="0"/>
        <item x="1"/>
        <item x="2"/>
        <item t="default"/>
      </items>
    </pivotField>
    <pivotField showAll="0"/>
    <pivotField dataField="1" numFmtId="2" showAll="0"/>
    <pivotField showAll="0"/>
  </pivotFields>
  <rowItems count="1">
    <i/>
  </rowItems>
  <colFields count="1">
    <field x="1"/>
  </colFields>
  <colItems count="3">
    <i>
      <x/>
    </i>
    <i>
      <x v="1"/>
    </i>
    <i>
      <x v="2"/>
    </i>
  </colItems>
  <dataFields count="1">
    <dataField name="Sum of CO2 kg" fld="3" baseField="0" baseItem="0" numFmtId="1"/>
  </dataFields>
  <formats count="1">
    <format dxfId="4">
      <pivotArea outline="0" collapsedLevelsAreSubtotals="1" fieldPosition="0"/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name="PivotTable8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">
  <location ref="A39:D41" firstHeaderRow="1" firstDataRow="2" firstDataCol="1"/>
  <pivotFields count="5">
    <pivotField showAll="0"/>
    <pivotField axis="axisCol" showAll="0">
      <items count="4">
        <item x="0"/>
        <item x="1"/>
        <item x="2"/>
        <item t="default"/>
      </items>
    </pivotField>
    <pivotField showAll="0"/>
    <pivotField numFmtId="2" showAll="0"/>
    <pivotField dataField="1" showAll="0"/>
  </pivotFields>
  <rowItems count="1">
    <i/>
  </rowItems>
  <colFields count="1">
    <field x="1"/>
  </colFields>
  <colItems count="3">
    <i>
      <x/>
    </i>
    <i>
      <x v="1"/>
    </i>
    <i>
      <x v="2"/>
    </i>
  </colItems>
  <dataFields count="1">
    <dataField name="Average of CO2 kg " fld="4" subtotal="average" baseField="1" baseItem="0" numFmtId="2"/>
  </dataFields>
  <formats count="1">
    <format dxfId="5">
      <pivotArea outline="0" collapsedLevelsAreSubtotals="1" fieldPosition="0"/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name="PivotTable9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>
  <location ref="A1:E3" firstHeaderRow="1" firstDataRow="2" firstDataCol="1"/>
  <pivotFields count="19"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numFmtId="3" showAll="0"/>
    <pivotField numFmtId="3" showAll="0"/>
    <pivotField numFmtId="3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dataField="1" showAll="0"/>
    <pivotField numFmtId="164" showAll="0"/>
  </pivotFields>
  <rowItems count="1">
    <i/>
  </rowItems>
  <colFields count="1">
    <field x="1"/>
  </colFields>
  <colItems count="4">
    <i>
      <x/>
    </i>
    <i>
      <x v="1"/>
    </i>
    <i>
      <x v="2"/>
    </i>
    <i>
      <x v="3"/>
    </i>
  </colItems>
  <dataFields count="1">
    <dataField name="Sum of Wasser _x000a_gesamt (Monat)" fld="17" baseField="0" baseItem="0" numFmtId="165"/>
  </dataFields>
  <formats count="1">
    <format dxfId="0">
      <pivotArea outline="0" collapsedLevelsAreSubtotals="1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name="PivotTable1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6">
  <location ref="A40:E42" firstHeaderRow="1" firstDataRow="2" firstDataCol="1"/>
  <pivotFields count="19"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numFmtId="3" showAll="0"/>
    <pivotField numFmtId="3" showAll="0"/>
    <pivotField numFmtId="3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</pivotFields>
  <rowItems count="1">
    <i/>
  </rowItems>
  <colFields count="1">
    <field x="1"/>
  </colFields>
  <colItems count="4">
    <i>
      <x/>
    </i>
    <i>
      <x v="1"/>
    </i>
    <i>
      <x v="2"/>
    </i>
    <i>
      <x v="3"/>
    </i>
  </colItems>
  <dataFields count="1">
    <dataField name="Average of Verbrauch/Kopf/Monat" fld="18" subtotal="average" baseField="1" baseItem="0" numFmtId="164"/>
  </dataFields>
  <formats count="1">
    <format dxfId="1">
      <pivotArea outline="0" collapsedLevelsAreSubtotals="1" fieldPosition="0"/>
    </format>
  </format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name="PivotTable10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>
  <location ref="A23:E25" firstHeaderRow="1" firstDataRow="2" firstDataCol="1"/>
  <pivotFields count="19"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numFmtId="3" showAll="0"/>
    <pivotField numFmtId="3" showAll="0"/>
    <pivotField numFmtId="3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dataField="1" showAll="0"/>
    <pivotField numFmtId="164" showAll="0"/>
  </pivotFields>
  <rowItems count="1">
    <i/>
  </rowItems>
  <colFields count="1">
    <field x="1"/>
  </colFields>
  <colItems count="4">
    <i>
      <x/>
    </i>
    <i>
      <x v="1"/>
    </i>
    <i>
      <x v="2"/>
    </i>
    <i>
      <x v="3"/>
    </i>
  </colItems>
  <dataFields count="1">
    <dataField name="Average of Wasser " fld="17" subtotal="average" baseField="1" baseItem="0" numFmtId="165"/>
  </dataFields>
  <formats count="1">
    <format dxfId="2">
      <pivotArea outline="0" collapsedLevelsAreSubtotals="1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2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0"/>
  <sheetViews>
    <sheetView workbookViewId="0">
      <selection activeCell="AI7" sqref="AI7"/>
    </sheetView>
  </sheetViews>
  <sheetFormatPr defaultRowHeight="15" x14ac:dyDescent="0.25"/>
  <cols>
    <col min="1" max="1" width="9.42578125" customWidth="1"/>
    <col min="3" max="3" width="13.140625" customWidth="1"/>
    <col min="4" max="4" width="15.85546875" customWidth="1"/>
    <col min="5" max="5" width="16.42578125" customWidth="1"/>
    <col min="6" max="9" width="14.140625" customWidth="1"/>
    <col min="10" max="10" width="10.85546875" customWidth="1"/>
    <col min="11" max="11" width="15.85546875" customWidth="1"/>
    <col min="12" max="12" width="13.140625" customWidth="1"/>
    <col min="13" max="13" width="14.28515625" customWidth="1"/>
    <col min="14" max="14" width="11.28515625" customWidth="1"/>
    <col min="15" max="15" width="13" customWidth="1"/>
    <col min="16" max="17" width="11.28515625" customWidth="1"/>
    <col min="18" max="18" width="10.28515625" customWidth="1"/>
    <col min="19" max="19" width="12.140625" customWidth="1"/>
    <col min="20" max="20" width="11.28515625" customWidth="1"/>
    <col min="21" max="21" width="10.28515625" customWidth="1"/>
    <col min="22" max="22" width="9.140625" customWidth="1"/>
    <col min="23" max="23" width="9.85546875" customWidth="1"/>
    <col min="24" max="24" width="12.5703125" customWidth="1"/>
    <col min="25" max="25" width="16.5703125" customWidth="1"/>
    <col min="26" max="26" width="9.28515625" bestFit="1" customWidth="1"/>
    <col min="27" max="27" width="11.42578125" customWidth="1"/>
  </cols>
  <sheetData>
    <row r="1" spans="1:37" ht="75.75" thickBot="1" x14ac:dyDescent="0.3">
      <c r="A1" s="3" t="s">
        <v>0</v>
      </c>
      <c r="B1" s="4" t="s">
        <v>1</v>
      </c>
      <c r="C1" s="5" t="s">
        <v>21</v>
      </c>
      <c r="D1" s="6" t="s">
        <v>14</v>
      </c>
      <c r="E1" s="7" t="s">
        <v>15</v>
      </c>
      <c r="F1" s="8" t="s">
        <v>16</v>
      </c>
      <c r="G1" s="6" t="s">
        <v>22</v>
      </c>
      <c r="H1" s="7" t="s">
        <v>23</v>
      </c>
      <c r="I1" s="7" t="s">
        <v>24</v>
      </c>
      <c r="J1" s="13" t="s">
        <v>31</v>
      </c>
      <c r="K1" s="44" t="s">
        <v>32</v>
      </c>
      <c r="L1" s="12" t="s">
        <v>17</v>
      </c>
      <c r="M1" s="9" t="s">
        <v>18</v>
      </c>
      <c r="N1" s="9" t="s">
        <v>19</v>
      </c>
      <c r="O1" s="10" t="s">
        <v>25</v>
      </c>
      <c r="P1" s="10" t="s">
        <v>26</v>
      </c>
      <c r="Q1" s="10" t="s">
        <v>27</v>
      </c>
      <c r="R1" s="11" t="s">
        <v>20</v>
      </c>
      <c r="S1" s="11" t="s">
        <v>33</v>
      </c>
      <c r="T1" s="14" t="s">
        <v>34</v>
      </c>
      <c r="U1" s="14" t="s">
        <v>28</v>
      </c>
      <c r="V1" s="14" t="s">
        <v>35</v>
      </c>
      <c r="W1" s="16" t="s">
        <v>29</v>
      </c>
      <c r="X1" s="16" t="s">
        <v>40</v>
      </c>
      <c r="Y1" s="16" t="s">
        <v>53</v>
      </c>
      <c r="Z1" s="15" t="s">
        <v>30</v>
      </c>
      <c r="AA1" s="73" t="s">
        <v>39</v>
      </c>
      <c r="AC1" s="3" t="s">
        <v>0</v>
      </c>
      <c r="AD1" s="4" t="s">
        <v>1</v>
      </c>
      <c r="AE1" s="5" t="s">
        <v>21</v>
      </c>
      <c r="AF1" s="15" t="s">
        <v>30</v>
      </c>
      <c r="AG1" s="73" t="s">
        <v>39</v>
      </c>
      <c r="AH1" s="73"/>
    </row>
    <row r="2" spans="1:37" ht="15.75" thickBot="1" x14ac:dyDescent="0.3">
      <c r="A2" s="17" t="s">
        <v>2</v>
      </c>
      <c r="B2" s="20">
        <v>2021</v>
      </c>
      <c r="C2" s="28">
        <v>46.6</v>
      </c>
      <c r="D2" s="24">
        <v>25272</v>
      </c>
      <c r="E2" s="24">
        <v>14829</v>
      </c>
      <c r="F2" s="24">
        <v>24356</v>
      </c>
      <c r="G2" s="24">
        <f>D3-D2</f>
        <v>1071</v>
      </c>
      <c r="H2" s="24">
        <f>E3-E2</f>
        <v>322</v>
      </c>
      <c r="I2" s="26">
        <f>F3-F2</f>
        <v>580</v>
      </c>
      <c r="J2" s="28">
        <f t="shared" ref="J2:J49" si="0">SUM(G2:I2)</f>
        <v>1973</v>
      </c>
      <c r="K2" s="30">
        <f t="shared" ref="K2:K12" si="1">(J2)/C2</f>
        <v>42.339055793991413</v>
      </c>
      <c r="L2" s="31">
        <v>103.85</v>
      </c>
      <c r="M2" s="31">
        <v>129.63999999999999</v>
      </c>
      <c r="N2" s="32">
        <v>251.99</v>
      </c>
      <c r="O2" s="31">
        <f>L3-L2</f>
        <v>1.5800000000000125</v>
      </c>
      <c r="P2" s="31">
        <f t="shared" ref="P2:Q17" si="2">M3-M2</f>
        <v>2.8100000000000023</v>
      </c>
      <c r="Q2" s="31">
        <f t="shared" si="2"/>
        <v>4.4599999999999795</v>
      </c>
      <c r="R2" s="34">
        <f>SUM(O2:Q2)</f>
        <v>8.8499999999999943</v>
      </c>
      <c r="S2" s="46">
        <f>R2/C2</f>
        <v>0.18991416309012862</v>
      </c>
      <c r="T2" s="40">
        <v>210079</v>
      </c>
      <c r="U2" s="36">
        <f>((10959/6)*2)+3186</f>
        <v>6839</v>
      </c>
      <c r="V2" s="35">
        <v>33946</v>
      </c>
      <c r="W2" s="42">
        <f>((1510/6)*2)+307</f>
        <v>810.33333333333326</v>
      </c>
      <c r="X2" s="42">
        <f>U2+W2</f>
        <v>7649.333333333333</v>
      </c>
      <c r="Y2" s="42">
        <f>X2/C2</f>
        <v>164.14878397711016</v>
      </c>
      <c r="Z2" s="74"/>
      <c r="AA2" s="43"/>
      <c r="AC2" s="48" t="s">
        <v>2</v>
      </c>
      <c r="AD2" s="49">
        <v>2022</v>
      </c>
      <c r="AE2" s="50">
        <v>55</v>
      </c>
      <c r="AF2" s="76">
        <v>5646.01</v>
      </c>
      <c r="AG2" s="43">
        <f t="shared" ref="AG2:AG37" si="3">AF2/I2</f>
        <v>9.7345000000000006</v>
      </c>
    </row>
    <row r="3" spans="1:37" ht="15.75" thickBot="1" x14ac:dyDescent="0.3">
      <c r="A3" s="18" t="s">
        <v>3</v>
      </c>
      <c r="B3" s="21">
        <v>2021</v>
      </c>
      <c r="C3" s="28">
        <v>46.6</v>
      </c>
      <c r="D3" s="25">
        <v>26343</v>
      </c>
      <c r="E3" s="25">
        <v>15151</v>
      </c>
      <c r="F3" s="25">
        <v>24936</v>
      </c>
      <c r="G3" s="25">
        <f>D4-D3</f>
        <v>1128</v>
      </c>
      <c r="H3" s="25">
        <f t="shared" ref="H3:H46" si="4">E4-E3</f>
        <v>321</v>
      </c>
      <c r="I3" s="27">
        <f t="shared" ref="I3:I46" si="5">F4-F3</f>
        <v>627</v>
      </c>
      <c r="J3" s="29">
        <f t="shared" si="0"/>
        <v>2076</v>
      </c>
      <c r="K3" s="30">
        <f t="shared" si="1"/>
        <v>44.549356223175963</v>
      </c>
      <c r="L3" s="23">
        <v>105.43</v>
      </c>
      <c r="M3" s="23">
        <v>132.44999999999999</v>
      </c>
      <c r="N3" s="33">
        <v>256.45</v>
      </c>
      <c r="O3" s="23">
        <f>L4-L3</f>
        <v>1.9199999999999875</v>
      </c>
      <c r="P3" s="23">
        <f t="shared" si="2"/>
        <v>3.2900000000000205</v>
      </c>
      <c r="Q3" s="23">
        <f t="shared" si="2"/>
        <v>5.3799999999999955</v>
      </c>
      <c r="R3" s="34">
        <f t="shared" ref="R3:R49" si="6">SUM(O3:Q3)</f>
        <v>10.590000000000003</v>
      </c>
      <c r="S3" s="47">
        <f t="shared" ref="S3:S49" si="7">R3/C3</f>
        <v>0.22725321888412023</v>
      </c>
      <c r="T3" s="37">
        <v>218757</v>
      </c>
      <c r="U3" s="38">
        <f>T3-T2</f>
        <v>8678</v>
      </c>
      <c r="V3" s="41">
        <v>34270</v>
      </c>
      <c r="W3" s="41">
        <f>V3-V2</f>
        <v>324</v>
      </c>
      <c r="X3" s="42">
        <f t="shared" ref="X3:X25" si="8">U3+W3</f>
        <v>9002</v>
      </c>
      <c r="Y3" s="42">
        <f t="shared" ref="Y3:Y49" si="9">X3/C3</f>
        <v>193.17596566523605</v>
      </c>
      <c r="Z3" s="75"/>
      <c r="AA3" s="43"/>
      <c r="AC3" s="1" t="s">
        <v>3</v>
      </c>
      <c r="AD3" s="22">
        <v>2022</v>
      </c>
      <c r="AE3" s="50">
        <v>55</v>
      </c>
      <c r="AF3" s="76">
        <v>4338.4800000000005</v>
      </c>
      <c r="AG3" s="43">
        <f t="shared" si="3"/>
        <v>6.919425837320575</v>
      </c>
    </row>
    <row r="4" spans="1:37" ht="15.75" thickBot="1" x14ac:dyDescent="0.3">
      <c r="A4" s="18" t="s">
        <v>4</v>
      </c>
      <c r="B4" s="21">
        <v>2021</v>
      </c>
      <c r="C4" s="28">
        <v>46.6</v>
      </c>
      <c r="D4" s="25">
        <v>27471</v>
      </c>
      <c r="E4" s="25">
        <v>15472</v>
      </c>
      <c r="F4" s="25">
        <v>25563</v>
      </c>
      <c r="G4" s="25">
        <f>D5-D4</f>
        <v>1018</v>
      </c>
      <c r="H4" s="25">
        <f t="shared" si="4"/>
        <v>322</v>
      </c>
      <c r="I4" s="27">
        <f t="shared" si="5"/>
        <v>517</v>
      </c>
      <c r="J4" s="29">
        <f t="shared" si="0"/>
        <v>1857</v>
      </c>
      <c r="K4" s="30">
        <f t="shared" si="1"/>
        <v>39.849785407725321</v>
      </c>
      <c r="L4" s="23">
        <v>107.35</v>
      </c>
      <c r="M4" s="23">
        <v>135.74</v>
      </c>
      <c r="N4" s="33">
        <v>261.83</v>
      </c>
      <c r="O4" s="23">
        <f>L5-L4</f>
        <v>1.7199999999999989</v>
      </c>
      <c r="P4" s="23">
        <f t="shared" si="2"/>
        <v>2.8199999999999932</v>
      </c>
      <c r="Q4" s="23">
        <f t="shared" si="2"/>
        <v>4.6299999999999955</v>
      </c>
      <c r="R4" s="34">
        <f t="shared" si="6"/>
        <v>9.1699999999999875</v>
      </c>
      <c r="S4" s="47">
        <f t="shared" si="7"/>
        <v>0.19678111587982805</v>
      </c>
      <c r="T4" s="39">
        <v>225862</v>
      </c>
      <c r="U4" s="38">
        <f t="shared" ref="U4:U20" si="10">T4-T3</f>
        <v>7105</v>
      </c>
      <c r="V4" s="41">
        <v>35154</v>
      </c>
      <c r="W4" s="41">
        <f t="shared" ref="W4:W20" si="11">V4-V3</f>
        <v>884</v>
      </c>
      <c r="X4" s="42">
        <f t="shared" si="8"/>
        <v>7989</v>
      </c>
      <c r="Y4" s="42">
        <f t="shared" si="9"/>
        <v>171.43776824034333</v>
      </c>
      <c r="Z4" s="75"/>
      <c r="AA4" s="43"/>
      <c r="AC4" s="1" t="s">
        <v>4</v>
      </c>
      <c r="AD4" s="22">
        <v>2022</v>
      </c>
      <c r="AE4" s="50">
        <v>55</v>
      </c>
      <c r="AF4" s="76">
        <v>2866.52</v>
      </c>
      <c r="AG4" s="43">
        <f t="shared" si="3"/>
        <v>5.5445261121856868</v>
      </c>
    </row>
    <row r="5" spans="1:37" ht="15.75" thickBot="1" x14ac:dyDescent="0.3">
      <c r="A5" s="18" t="s">
        <v>5</v>
      </c>
      <c r="B5" s="21">
        <v>2021</v>
      </c>
      <c r="C5" s="28">
        <v>46.6</v>
      </c>
      <c r="D5" s="25">
        <v>28489</v>
      </c>
      <c r="E5" s="25">
        <v>15794</v>
      </c>
      <c r="F5" s="25">
        <v>26080</v>
      </c>
      <c r="G5" s="25">
        <f>D6-D5</f>
        <v>1054</v>
      </c>
      <c r="H5" s="25">
        <f t="shared" si="4"/>
        <v>314</v>
      </c>
      <c r="I5" s="27">
        <f t="shared" si="5"/>
        <v>573</v>
      </c>
      <c r="J5" s="29">
        <f t="shared" si="0"/>
        <v>1941</v>
      </c>
      <c r="K5" s="30">
        <f t="shared" si="1"/>
        <v>41.652360515021456</v>
      </c>
      <c r="L5" s="23">
        <v>109.07</v>
      </c>
      <c r="M5" s="23">
        <v>138.56</v>
      </c>
      <c r="N5" s="33">
        <v>266.45999999999998</v>
      </c>
      <c r="O5" s="23">
        <f t="shared" ref="O5:Q22" si="12">L6-L5</f>
        <v>1.5800000000000125</v>
      </c>
      <c r="P5" s="23">
        <f t="shared" si="2"/>
        <v>3.1299999999999955</v>
      </c>
      <c r="Q5" s="23">
        <f t="shared" si="2"/>
        <v>4.3799999999999955</v>
      </c>
      <c r="R5" s="34">
        <f t="shared" si="6"/>
        <v>9.0900000000000034</v>
      </c>
      <c r="S5" s="47">
        <f t="shared" si="7"/>
        <v>0.19506437768240351</v>
      </c>
      <c r="T5" s="39">
        <v>232801</v>
      </c>
      <c r="U5" s="38">
        <f t="shared" si="10"/>
        <v>6939</v>
      </c>
      <c r="V5" s="41">
        <v>36902</v>
      </c>
      <c r="W5" s="41">
        <f t="shared" si="11"/>
        <v>1748</v>
      </c>
      <c r="X5" s="42">
        <f t="shared" si="8"/>
        <v>8687</v>
      </c>
      <c r="Y5" s="42">
        <f t="shared" si="9"/>
        <v>186.41630901287553</v>
      </c>
      <c r="Z5" s="75"/>
      <c r="AA5" s="43"/>
      <c r="AC5" s="1" t="s">
        <v>5</v>
      </c>
      <c r="AD5" s="22">
        <v>2022</v>
      </c>
      <c r="AE5" s="50">
        <v>55</v>
      </c>
      <c r="AF5" s="76">
        <v>1302.54</v>
      </c>
      <c r="AG5" s="43">
        <f t="shared" si="3"/>
        <v>2.2731937172774868</v>
      </c>
    </row>
    <row r="6" spans="1:37" ht="15.75" thickBot="1" x14ac:dyDescent="0.3">
      <c r="A6" s="18" t="s">
        <v>6</v>
      </c>
      <c r="B6" s="21">
        <v>2021</v>
      </c>
      <c r="C6" s="45">
        <v>54</v>
      </c>
      <c r="D6" s="25">
        <v>29543</v>
      </c>
      <c r="E6" s="25">
        <v>16108</v>
      </c>
      <c r="F6" s="25">
        <v>26653</v>
      </c>
      <c r="G6" s="25">
        <f t="shared" ref="G6:G46" si="13">D7-D6</f>
        <v>957</v>
      </c>
      <c r="H6" s="25">
        <f t="shared" si="4"/>
        <v>274</v>
      </c>
      <c r="I6" s="27">
        <f t="shared" si="5"/>
        <v>488</v>
      </c>
      <c r="J6" s="29">
        <f t="shared" si="0"/>
        <v>1719</v>
      </c>
      <c r="K6" s="30">
        <f t="shared" si="1"/>
        <v>31.833333333333332</v>
      </c>
      <c r="L6" s="23">
        <v>110.65</v>
      </c>
      <c r="M6" s="23">
        <v>141.69</v>
      </c>
      <c r="N6" s="33">
        <v>270.83999999999997</v>
      </c>
      <c r="O6" s="23">
        <f t="shared" si="12"/>
        <v>1.6999999999999886</v>
      </c>
      <c r="P6" s="23">
        <f t="shared" si="2"/>
        <v>2.4699999999999989</v>
      </c>
      <c r="Q6" s="23">
        <f t="shared" si="2"/>
        <v>3.9700000000000273</v>
      </c>
      <c r="R6" s="34">
        <f t="shared" si="6"/>
        <v>8.1400000000000148</v>
      </c>
      <c r="S6" s="47">
        <f t="shared" si="7"/>
        <v>0.15074074074074101</v>
      </c>
      <c r="T6" s="39">
        <v>243033</v>
      </c>
      <c r="U6" s="38">
        <f t="shared" si="10"/>
        <v>10232</v>
      </c>
      <c r="V6" s="41">
        <v>38880</v>
      </c>
      <c r="W6" s="41">
        <f t="shared" si="11"/>
        <v>1978</v>
      </c>
      <c r="X6" s="42">
        <f t="shared" si="8"/>
        <v>12210</v>
      </c>
      <c r="Y6" s="42">
        <f t="shared" si="9"/>
        <v>226.11111111111111</v>
      </c>
      <c r="Z6" s="75"/>
      <c r="AA6" s="43"/>
      <c r="AC6" s="1" t="s">
        <v>6</v>
      </c>
      <c r="AD6" s="22">
        <v>2022</v>
      </c>
      <c r="AE6" s="50">
        <v>55</v>
      </c>
      <c r="AF6" s="76">
        <v>2700.2889999999998</v>
      </c>
      <c r="AG6" s="43">
        <f t="shared" si="3"/>
        <v>5.5333790983606557</v>
      </c>
    </row>
    <row r="7" spans="1:37" ht="15.75" thickBot="1" x14ac:dyDescent="0.3">
      <c r="A7" s="18" t="s">
        <v>7</v>
      </c>
      <c r="B7" s="21">
        <v>2021</v>
      </c>
      <c r="C7" s="45">
        <v>54</v>
      </c>
      <c r="D7" s="25">
        <v>30500</v>
      </c>
      <c r="E7" s="25">
        <v>16382</v>
      </c>
      <c r="F7" s="25">
        <v>27141</v>
      </c>
      <c r="G7" s="25">
        <f t="shared" si="13"/>
        <v>1039</v>
      </c>
      <c r="H7" s="25">
        <f t="shared" si="4"/>
        <v>307</v>
      </c>
      <c r="I7" s="27">
        <f t="shared" si="5"/>
        <v>571</v>
      </c>
      <c r="J7" s="29">
        <f t="shared" si="0"/>
        <v>1917</v>
      </c>
      <c r="K7" s="30">
        <f t="shared" si="1"/>
        <v>35.5</v>
      </c>
      <c r="L7" s="23">
        <v>112.35</v>
      </c>
      <c r="M7" s="23">
        <v>144.16</v>
      </c>
      <c r="N7" s="33">
        <v>274.81</v>
      </c>
      <c r="O7" s="23">
        <f t="shared" si="12"/>
        <v>1.8900000000000006</v>
      </c>
      <c r="P7" s="23">
        <f t="shared" si="2"/>
        <v>3.8600000000000136</v>
      </c>
      <c r="Q7" s="23">
        <f t="shared" si="2"/>
        <v>5.1000000000000227</v>
      </c>
      <c r="R7" s="34">
        <f t="shared" si="6"/>
        <v>10.850000000000037</v>
      </c>
      <c r="S7" s="47">
        <f t="shared" si="7"/>
        <v>0.20092592592592662</v>
      </c>
      <c r="T7" s="39">
        <v>249500</v>
      </c>
      <c r="U7" s="38">
        <f t="shared" si="10"/>
        <v>6467</v>
      </c>
      <c r="V7" s="41">
        <v>39897</v>
      </c>
      <c r="W7" s="41">
        <f t="shared" si="11"/>
        <v>1017</v>
      </c>
      <c r="X7" s="42">
        <f t="shared" si="8"/>
        <v>7484</v>
      </c>
      <c r="Y7" s="42">
        <f t="shared" si="9"/>
        <v>138.59259259259258</v>
      </c>
      <c r="Z7" s="75"/>
      <c r="AA7" s="43"/>
      <c r="AC7" s="1" t="s">
        <v>7</v>
      </c>
      <c r="AD7" s="22">
        <v>2022</v>
      </c>
      <c r="AE7" s="50">
        <v>55</v>
      </c>
      <c r="AF7" s="76">
        <v>1513.93</v>
      </c>
      <c r="AG7" s="43">
        <f t="shared" si="3"/>
        <v>2.651366024518389</v>
      </c>
    </row>
    <row r="8" spans="1:37" ht="15.75" thickBot="1" x14ac:dyDescent="0.3">
      <c r="A8" s="18" t="s">
        <v>8</v>
      </c>
      <c r="B8" s="21">
        <v>2021</v>
      </c>
      <c r="C8" s="45">
        <v>54</v>
      </c>
      <c r="D8" s="25">
        <v>31539</v>
      </c>
      <c r="E8" s="25">
        <v>16689</v>
      </c>
      <c r="F8" s="25">
        <v>27712</v>
      </c>
      <c r="G8" s="25">
        <f t="shared" si="13"/>
        <v>1118</v>
      </c>
      <c r="H8" s="25">
        <f t="shared" si="4"/>
        <v>392</v>
      </c>
      <c r="I8" s="27">
        <f t="shared" si="5"/>
        <v>702</v>
      </c>
      <c r="J8" s="29">
        <f t="shared" si="0"/>
        <v>2212</v>
      </c>
      <c r="K8" s="30">
        <f t="shared" si="1"/>
        <v>40.962962962962962</v>
      </c>
      <c r="L8" s="23">
        <v>114.24</v>
      </c>
      <c r="M8" s="23">
        <v>148.02000000000001</v>
      </c>
      <c r="N8" s="33">
        <v>279.91000000000003</v>
      </c>
      <c r="O8" s="23">
        <f t="shared" si="12"/>
        <v>2.460000000000008</v>
      </c>
      <c r="P8" s="23">
        <f t="shared" si="2"/>
        <v>4.0199999999999818</v>
      </c>
      <c r="Q8" s="23">
        <f t="shared" si="2"/>
        <v>7.589999999999975</v>
      </c>
      <c r="R8" s="34">
        <f t="shared" si="6"/>
        <v>14.069999999999965</v>
      </c>
      <c r="S8" s="47">
        <f t="shared" si="7"/>
        <v>0.26055555555555493</v>
      </c>
      <c r="T8" s="39">
        <v>256361</v>
      </c>
      <c r="U8" s="38">
        <f t="shared" si="10"/>
        <v>6861</v>
      </c>
      <c r="V8" s="41">
        <v>40421</v>
      </c>
      <c r="W8" s="41">
        <f t="shared" si="11"/>
        <v>524</v>
      </c>
      <c r="X8" s="42">
        <f t="shared" si="8"/>
        <v>7385</v>
      </c>
      <c r="Y8" s="42">
        <f t="shared" si="9"/>
        <v>136.75925925925927</v>
      </c>
      <c r="Z8" s="75"/>
      <c r="AA8" s="43"/>
      <c r="AC8" s="1" t="s">
        <v>8</v>
      </c>
      <c r="AD8" s="22">
        <v>2022</v>
      </c>
      <c r="AE8" s="50">
        <v>55</v>
      </c>
      <c r="AF8" s="76">
        <v>1592.31</v>
      </c>
      <c r="AG8" s="43">
        <f t="shared" si="3"/>
        <v>2.2682478632478631</v>
      </c>
    </row>
    <row r="9" spans="1:37" ht="15.75" thickBot="1" x14ac:dyDescent="0.3">
      <c r="A9" s="19" t="s">
        <v>9</v>
      </c>
      <c r="B9" s="21">
        <v>2021</v>
      </c>
      <c r="C9" s="45">
        <v>54</v>
      </c>
      <c r="D9" s="25">
        <v>32657</v>
      </c>
      <c r="E9" s="25">
        <v>17081</v>
      </c>
      <c r="F9" s="25">
        <v>28414</v>
      </c>
      <c r="G9" s="25">
        <f t="shared" si="13"/>
        <v>967</v>
      </c>
      <c r="H9" s="25">
        <f t="shared" si="4"/>
        <v>299</v>
      </c>
      <c r="I9" s="27">
        <f t="shared" si="5"/>
        <v>523</v>
      </c>
      <c r="J9" s="29">
        <f t="shared" si="0"/>
        <v>1789</v>
      </c>
      <c r="K9" s="30">
        <f t="shared" si="1"/>
        <v>33.129629629629626</v>
      </c>
      <c r="L9" s="23">
        <v>116.7</v>
      </c>
      <c r="M9" s="23">
        <v>152.04</v>
      </c>
      <c r="N9" s="33">
        <v>287.5</v>
      </c>
      <c r="O9" s="23">
        <f t="shared" si="12"/>
        <v>2.5</v>
      </c>
      <c r="P9" s="23">
        <f t="shared" si="2"/>
        <v>3.0300000000000011</v>
      </c>
      <c r="Q9" s="23">
        <f t="shared" si="2"/>
        <v>3.5799999999999841</v>
      </c>
      <c r="R9" s="34">
        <f t="shared" si="6"/>
        <v>9.1099999999999852</v>
      </c>
      <c r="S9" s="47">
        <f t="shared" si="7"/>
        <v>0.16870370370370344</v>
      </c>
      <c r="T9" s="39">
        <v>266635</v>
      </c>
      <c r="U9" s="38">
        <f t="shared" si="10"/>
        <v>10274</v>
      </c>
      <c r="V9" s="41">
        <v>41404</v>
      </c>
      <c r="W9" s="41">
        <f t="shared" si="11"/>
        <v>983</v>
      </c>
      <c r="X9" s="42">
        <f t="shared" si="8"/>
        <v>11257</v>
      </c>
      <c r="Y9" s="42">
        <f t="shared" si="9"/>
        <v>208.46296296296296</v>
      </c>
      <c r="Z9" s="75"/>
      <c r="AA9" s="43"/>
      <c r="AC9" s="1" t="s">
        <v>9</v>
      </c>
      <c r="AD9" s="22">
        <v>2022</v>
      </c>
      <c r="AE9" s="50">
        <v>55</v>
      </c>
      <c r="AF9" s="76">
        <v>844.34</v>
      </c>
      <c r="AG9" s="43">
        <f t="shared" si="3"/>
        <v>1.6144168260038241</v>
      </c>
    </row>
    <row r="10" spans="1:37" ht="15.75" thickBot="1" x14ac:dyDescent="0.3">
      <c r="A10" s="19" t="s">
        <v>10</v>
      </c>
      <c r="B10" s="21">
        <v>2021</v>
      </c>
      <c r="C10" s="45">
        <v>54</v>
      </c>
      <c r="D10" s="25">
        <v>33624</v>
      </c>
      <c r="E10" s="25">
        <v>17380</v>
      </c>
      <c r="F10" s="25">
        <v>28937</v>
      </c>
      <c r="G10" s="25">
        <f t="shared" si="13"/>
        <v>1167</v>
      </c>
      <c r="H10" s="25">
        <f t="shared" si="4"/>
        <v>369</v>
      </c>
      <c r="I10" s="27">
        <f t="shared" si="5"/>
        <v>624</v>
      </c>
      <c r="J10" s="29">
        <f t="shared" si="0"/>
        <v>2160</v>
      </c>
      <c r="K10" s="30">
        <f t="shared" si="1"/>
        <v>40</v>
      </c>
      <c r="L10" s="23">
        <v>119.2</v>
      </c>
      <c r="M10" s="23">
        <v>155.07</v>
      </c>
      <c r="N10" s="33">
        <v>291.08</v>
      </c>
      <c r="O10" s="23">
        <f t="shared" si="12"/>
        <v>2.3999999999999915</v>
      </c>
      <c r="P10" s="23">
        <f t="shared" si="2"/>
        <v>5.0200000000000102</v>
      </c>
      <c r="Q10" s="23">
        <f t="shared" si="2"/>
        <v>6.6899999999999977</v>
      </c>
      <c r="R10" s="34">
        <f t="shared" si="6"/>
        <v>14.11</v>
      </c>
      <c r="S10" s="47">
        <f t="shared" si="7"/>
        <v>0.2612962962962963</v>
      </c>
      <c r="T10" s="39">
        <v>272800</v>
      </c>
      <c r="U10" s="38">
        <f t="shared" si="10"/>
        <v>6165</v>
      </c>
      <c r="V10" s="41">
        <v>41825</v>
      </c>
      <c r="W10" s="41">
        <f t="shared" si="11"/>
        <v>421</v>
      </c>
      <c r="X10" s="42">
        <f t="shared" si="8"/>
        <v>6586</v>
      </c>
      <c r="Y10" s="42">
        <f t="shared" si="9"/>
        <v>121.96296296296296</v>
      </c>
      <c r="Z10" s="75"/>
      <c r="AA10" s="43"/>
      <c r="AC10" s="1" t="s">
        <v>10</v>
      </c>
      <c r="AD10" s="22">
        <v>2022</v>
      </c>
      <c r="AE10" s="52">
        <v>55</v>
      </c>
      <c r="AF10" s="76">
        <v>3125.51</v>
      </c>
      <c r="AG10" s="43">
        <f t="shared" si="3"/>
        <v>5.0088301282051289</v>
      </c>
    </row>
    <row r="11" spans="1:37" ht="15.75" thickBot="1" x14ac:dyDescent="0.3">
      <c r="A11" s="19" t="s">
        <v>11</v>
      </c>
      <c r="B11" s="21">
        <v>2021</v>
      </c>
      <c r="C11" s="45">
        <v>54</v>
      </c>
      <c r="D11" s="25">
        <v>34791</v>
      </c>
      <c r="E11" s="25">
        <v>17749</v>
      </c>
      <c r="F11" s="25">
        <v>29561</v>
      </c>
      <c r="G11" s="25">
        <f t="shared" si="13"/>
        <v>1013</v>
      </c>
      <c r="H11" s="25">
        <f t="shared" si="4"/>
        <v>323</v>
      </c>
      <c r="I11" s="27">
        <f t="shared" si="5"/>
        <v>600</v>
      </c>
      <c r="J11" s="29">
        <f t="shared" si="0"/>
        <v>1936</v>
      </c>
      <c r="K11" s="30">
        <f t="shared" si="1"/>
        <v>35.851851851851855</v>
      </c>
      <c r="L11" s="23">
        <v>121.6</v>
      </c>
      <c r="M11" s="23">
        <v>160.09</v>
      </c>
      <c r="N11" s="33">
        <v>297.77</v>
      </c>
      <c r="O11" s="23">
        <f t="shared" si="12"/>
        <v>1.8000000000000114</v>
      </c>
      <c r="P11" s="23">
        <f t="shared" si="2"/>
        <v>3.3799999999999955</v>
      </c>
      <c r="Q11" s="23">
        <f t="shared" si="2"/>
        <v>4.5200000000000387</v>
      </c>
      <c r="R11" s="34">
        <f t="shared" si="6"/>
        <v>9.7000000000000455</v>
      </c>
      <c r="S11" s="47">
        <f t="shared" si="7"/>
        <v>0.17962962962963047</v>
      </c>
      <c r="T11" s="39">
        <v>282452</v>
      </c>
      <c r="U11" s="38">
        <f t="shared" si="10"/>
        <v>9652</v>
      </c>
      <c r="V11" s="41">
        <v>42484</v>
      </c>
      <c r="W11" s="41">
        <f t="shared" si="11"/>
        <v>659</v>
      </c>
      <c r="X11" s="42">
        <f t="shared" si="8"/>
        <v>10311</v>
      </c>
      <c r="Y11" s="42">
        <f t="shared" si="9"/>
        <v>190.94444444444446</v>
      </c>
      <c r="Z11" s="75"/>
      <c r="AA11" s="43"/>
      <c r="AC11" s="2" t="s">
        <v>11</v>
      </c>
      <c r="AD11" s="22">
        <v>2022</v>
      </c>
      <c r="AE11" s="51">
        <v>55</v>
      </c>
      <c r="AF11" s="76">
        <v>3092.17</v>
      </c>
      <c r="AG11" s="43">
        <f t="shared" si="3"/>
        <v>5.1536166666666672</v>
      </c>
    </row>
    <row r="12" spans="1:37" ht="15.75" thickBot="1" x14ac:dyDescent="0.3">
      <c r="A12" s="19" t="s">
        <v>12</v>
      </c>
      <c r="B12" s="21">
        <v>2021</v>
      </c>
      <c r="C12" s="45">
        <v>54</v>
      </c>
      <c r="D12" s="25">
        <v>35804</v>
      </c>
      <c r="E12" s="25">
        <v>18072</v>
      </c>
      <c r="F12" s="25">
        <v>30161</v>
      </c>
      <c r="G12" s="25">
        <f t="shared" si="13"/>
        <v>1069</v>
      </c>
      <c r="H12" s="25">
        <f t="shared" si="4"/>
        <v>289</v>
      </c>
      <c r="I12" s="27">
        <f t="shared" si="5"/>
        <v>577</v>
      </c>
      <c r="J12" s="29">
        <f t="shared" si="0"/>
        <v>1935</v>
      </c>
      <c r="K12" s="30">
        <f t="shared" si="1"/>
        <v>35.833333333333336</v>
      </c>
      <c r="L12" s="23">
        <v>123.4</v>
      </c>
      <c r="M12" s="23">
        <v>163.47</v>
      </c>
      <c r="N12" s="33">
        <v>302.29000000000002</v>
      </c>
      <c r="O12" s="23">
        <f t="shared" si="12"/>
        <v>1.2999999999999972</v>
      </c>
      <c r="P12" s="23">
        <f t="shared" si="2"/>
        <v>2.0699999999999932</v>
      </c>
      <c r="Q12" s="23">
        <f t="shared" si="2"/>
        <v>4.3799999999999955</v>
      </c>
      <c r="R12" s="34">
        <f t="shared" si="6"/>
        <v>7.7499999999999858</v>
      </c>
      <c r="S12" s="47">
        <f t="shared" si="7"/>
        <v>0.14351851851851827</v>
      </c>
      <c r="T12" s="39">
        <v>291687</v>
      </c>
      <c r="U12" s="38">
        <f t="shared" si="10"/>
        <v>9235</v>
      </c>
      <c r="V12" s="41">
        <v>42966</v>
      </c>
      <c r="W12" s="41">
        <f t="shared" si="11"/>
        <v>482</v>
      </c>
      <c r="X12" s="42">
        <f t="shared" si="8"/>
        <v>9717</v>
      </c>
      <c r="Y12" s="42">
        <f t="shared" si="9"/>
        <v>179.94444444444446</v>
      </c>
      <c r="Z12" s="75"/>
      <c r="AA12" s="43"/>
      <c r="AC12" s="2" t="s">
        <v>12</v>
      </c>
      <c r="AD12" s="22">
        <v>2022</v>
      </c>
      <c r="AE12" s="51">
        <v>55</v>
      </c>
      <c r="AF12" s="77">
        <v>1456.24</v>
      </c>
      <c r="AG12" s="43">
        <f t="shared" si="3"/>
        <v>2.5238128249566723</v>
      </c>
    </row>
    <row r="13" spans="1:37" ht="15.75" thickBot="1" x14ac:dyDescent="0.3">
      <c r="A13" s="19" t="s">
        <v>13</v>
      </c>
      <c r="B13" s="117">
        <v>2021</v>
      </c>
      <c r="C13" s="118">
        <v>54</v>
      </c>
      <c r="D13" s="119">
        <v>36873</v>
      </c>
      <c r="E13" s="119">
        <v>18361</v>
      </c>
      <c r="F13" s="119">
        <v>30738</v>
      </c>
      <c r="G13" s="119">
        <f t="shared" si="13"/>
        <v>1106</v>
      </c>
      <c r="H13" s="119">
        <f t="shared" si="4"/>
        <v>352</v>
      </c>
      <c r="I13" s="120">
        <f t="shared" si="5"/>
        <v>607</v>
      </c>
      <c r="J13" s="121">
        <f t="shared" si="0"/>
        <v>2065</v>
      </c>
      <c r="K13" s="121">
        <f>(J13)/C13</f>
        <v>38.24074074074074</v>
      </c>
      <c r="L13" s="122">
        <v>124.7</v>
      </c>
      <c r="M13" s="123">
        <v>165.54</v>
      </c>
      <c r="N13" s="124">
        <v>306.67</v>
      </c>
      <c r="O13" s="123">
        <f t="shared" si="12"/>
        <v>1.6199999999999903</v>
      </c>
      <c r="P13" s="123">
        <f t="shared" si="2"/>
        <v>3.8300000000000125</v>
      </c>
      <c r="Q13" s="123">
        <f t="shared" si="2"/>
        <v>4.8599999999999568</v>
      </c>
      <c r="R13" s="125">
        <f t="shared" si="6"/>
        <v>10.30999999999996</v>
      </c>
      <c r="S13" s="126">
        <f t="shared" si="7"/>
        <v>0.19092592592592517</v>
      </c>
      <c r="T13" s="127">
        <v>297622</v>
      </c>
      <c r="U13" s="128">
        <f t="shared" si="10"/>
        <v>5935</v>
      </c>
      <c r="V13" s="129">
        <v>43357</v>
      </c>
      <c r="W13" s="129">
        <f t="shared" si="11"/>
        <v>391</v>
      </c>
      <c r="X13" s="130">
        <f t="shared" si="8"/>
        <v>6326</v>
      </c>
      <c r="Y13" s="42">
        <f t="shared" si="9"/>
        <v>117.14814814814815</v>
      </c>
      <c r="Z13" s="131"/>
      <c r="AA13" s="132"/>
      <c r="AC13" s="2" t="s">
        <v>13</v>
      </c>
      <c r="AD13" s="53">
        <v>2022</v>
      </c>
      <c r="AE13" s="54">
        <v>55</v>
      </c>
      <c r="AF13" s="78">
        <v>1336.48</v>
      </c>
      <c r="AG13" s="43">
        <f t="shared" si="3"/>
        <v>2.2017792421746294</v>
      </c>
      <c r="AK13" s="81">
        <v>45170</v>
      </c>
    </row>
    <row r="14" spans="1:37" ht="15.75" thickBot="1" x14ac:dyDescent="0.3">
      <c r="A14" s="153" t="s">
        <v>2</v>
      </c>
      <c r="B14" s="154">
        <v>2022</v>
      </c>
      <c r="C14" s="155">
        <v>55</v>
      </c>
      <c r="D14" s="156">
        <v>37979</v>
      </c>
      <c r="E14" s="156">
        <v>18713</v>
      </c>
      <c r="F14" s="156">
        <v>31345</v>
      </c>
      <c r="G14" s="157">
        <f t="shared" si="13"/>
        <v>1089</v>
      </c>
      <c r="H14" s="157">
        <f t="shared" si="4"/>
        <v>289</v>
      </c>
      <c r="I14" s="157">
        <f t="shared" si="5"/>
        <v>537</v>
      </c>
      <c r="J14" s="155">
        <f t="shared" si="0"/>
        <v>1915</v>
      </c>
      <c r="K14" s="155">
        <f t="shared" ref="K14:K49" si="14">(J14)/C14</f>
        <v>34.81818181818182</v>
      </c>
      <c r="L14" s="158">
        <v>126.32</v>
      </c>
      <c r="M14" s="158">
        <v>169.37</v>
      </c>
      <c r="N14" s="158">
        <v>311.52999999999997</v>
      </c>
      <c r="O14" s="159">
        <f t="shared" si="12"/>
        <v>1.6600000000000108</v>
      </c>
      <c r="P14" s="159">
        <f t="shared" si="2"/>
        <v>2.7400000000000091</v>
      </c>
      <c r="Q14" s="159">
        <f t="shared" si="2"/>
        <v>4.8700000000000045</v>
      </c>
      <c r="R14" s="160">
        <f t="shared" si="6"/>
        <v>9.2700000000000244</v>
      </c>
      <c r="S14" s="161">
        <f t="shared" si="7"/>
        <v>0.168545454545455</v>
      </c>
      <c r="T14" s="162">
        <v>306520</v>
      </c>
      <c r="U14" s="163">
        <f t="shared" si="10"/>
        <v>8898</v>
      </c>
      <c r="V14" s="162">
        <v>44405</v>
      </c>
      <c r="W14" s="162">
        <f t="shared" si="11"/>
        <v>1048</v>
      </c>
      <c r="X14" s="163">
        <f t="shared" si="8"/>
        <v>9946</v>
      </c>
      <c r="Y14" s="116">
        <f t="shared" si="9"/>
        <v>180.83636363636364</v>
      </c>
      <c r="Z14" s="164">
        <v>5646.01</v>
      </c>
      <c r="AA14" s="165">
        <f t="shared" ref="AA14:AA49" si="15">Z14/C14</f>
        <v>102.65472727272727</v>
      </c>
      <c r="AC14" s="56" t="s">
        <v>2</v>
      </c>
      <c r="AD14" s="57">
        <v>2023</v>
      </c>
      <c r="AE14" s="58">
        <v>59</v>
      </c>
      <c r="AF14" s="79">
        <v>3633.85</v>
      </c>
      <c r="AG14" s="94">
        <f t="shared" si="3"/>
        <v>6.7669459962756049</v>
      </c>
      <c r="AH14" s="109"/>
    </row>
    <row r="15" spans="1:37" ht="15.75" thickBot="1" x14ac:dyDescent="0.3">
      <c r="A15" s="166" t="s">
        <v>3</v>
      </c>
      <c r="B15" s="43">
        <v>2022</v>
      </c>
      <c r="C15" s="144">
        <v>55</v>
      </c>
      <c r="D15" s="145">
        <v>39068</v>
      </c>
      <c r="E15" s="145">
        <v>19002</v>
      </c>
      <c r="F15" s="145">
        <v>31882</v>
      </c>
      <c r="G15" s="92">
        <f t="shared" si="13"/>
        <v>1117</v>
      </c>
      <c r="H15" s="92">
        <f t="shared" si="4"/>
        <v>326</v>
      </c>
      <c r="I15" s="92">
        <f t="shared" si="5"/>
        <v>616</v>
      </c>
      <c r="J15" s="144">
        <f t="shared" si="0"/>
        <v>2059</v>
      </c>
      <c r="K15" s="144">
        <f t="shared" si="14"/>
        <v>37.436363636363637</v>
      </c>
      <c r="L15" s="146">
        <v>127.98</v>
      </c>
      <c r="M15" s="146">
        <v>172.11</v>
      </c>
      <c r="N15" s="146">
        <v>316.39999999999998</v>
      </c>
      <c r="O15" s="111">
        <f t="shared" si="12"/>
        <v>1.7399999999999949</v>
      </c>
      <c r="P15" s="111">
        <f t="shared" si="2"/>
        <v>3.8599999999999852</v>
      </c>
      <c r="Q15" s="111">
        <f t="shared" si="2"/>
        <v>5.5</v>
      </c>
      <c r="R15" s="147">
        <f t="shared" si="6"/>
        <v>11.09999999999998</v>
      </c>
      <c r="S15" s="113">
        <f t="shared" si="7"/>
        <v>0.20181818181818145</v>
      </c>
      <c r="T15" s="148">
        <v>311950</v>
      </c>
      <c r="U15" s="149">
        <f t="shared" si="10"/>
        <v>5430</v>
      </c>
      <c r="V15" s="148">
        <v>44748</v>
      </c>
      <c r="W15" s="148">
        <f t="shared" si="11"/>
        <v>343</v>
      </c>
      <c r="X15" s="149">
        <f t="shared" si="8"/>
        <v>5773</v>
      </c>
      <c r="Y15" s="116">
        <f t="shared" si="9"/>
        <v>104.96363636363637</v>
      </c>
      <c r="Z15" s="88">
        <v>4338.4800000000005</v>
      </c>
      <c r="AA15" s="167">
        <f t="shared" si="15"/>
        <v>78.881454545454559</v>
      </c>
      <c r="AC15" s="59" t="s">
        <v>3</v>
      </c>
      <c r="AD15" s="60">
        <v>2023</v>
      </c>
      <c r="AE15" s="61">
        <v>59</v>
      </c>
      <c r="AF15" s="80">
        <v>2830.73</v>
      </c>
      <c r="AG15" s="94">
        <f t="shared" si="3"/>
        <v>4.5953409090909094</v>
      </c>
      <c r="AH15" s="109"/>
    </row>
    <row r="16" spans="1:37" ht="15.75" thickBot="1" x14ac:dyDescent="0.3">
      <c r="A16" s="166" t="s">
        <v>4</v>
      </c>
      <c r="B16" s="43">
        <v>2022</v>
      </c>
      <c r="C16" s="144">
        <v>55</v>
      </c>
      <c r="D16" s="145">
        <v>40185</v>
      </c>
      <c r="E16" s="145">
        <v>19328</v>
      </c>
      <c r="F16" s="145">
        <v>32498</v>
      </c>
      <c r="G16" s="92">
        <f t="shared" si="13"/>
        <v>877</v>
      </c>
      <c r="H16" s="92">
        <f t="shared" si="4"/>
        <v>235</v>
      </c>
      <c r="I16" s="92">
        <f t="shared" si="5"/>
        <v>456</v>
      </c>
      <c r="J16" s="144">
        <f t="shared" si="0"/>
        <v>1568</v>
      </c>
      <c r="K16" s="144">
        <f t="shared" si="14"/>
        <v>28.509090909090908</v>
      </c>
      <c r="L16" s="146">
        <v>129.72</v>
      </c>
      <c r="M16" s="146">
        <v>175.97</v>
      </c>
      <c r="N16" s="146">
        <v>321.89999999999998</v>
      </c>
      <c r="O16" s="111">
        <f t="shared" si="12"/>
        <v>1.4399999999999977</v>
      </c>
      <c r="P16" s="111">
        <f t="shared" si="2"/>
        <v>2.2400000000000091</v>
      </c>
      <c r="Q16" s="111">
        <f t="shared" si="2"/>
        <v>4.2900000000000205</v>
      </c>
      <c r="R16" s="147">
        <f t="shared" si="6"/>
        <v>7.9700000000000273</v>
      </c>
      <c r="S16" s="113">
        <f t="shared" si="7"/>
        <v>0.1449090909090914</v>
      </c>
      <c r="T16" s="148">
        <v>317272</v>
      </c>
      <c r="U16" s="149">
        <f t="shared" si="10"/>
        <v>5322</v>
      </c>
      <c r="V16" s="148">
        <v>45702</v>
      </c>
      <c r="W16" s="148">
        <f t="shared" si="11"/>
        <v>954</v>
      </c>
      <c r="X16" s="149">
        <f t="shared" si="8"/>
        <v>6276</v>
      </c>
      <c r="Y16" s="116">
        <f t="shared" si="9"/>
        <v>114.10909090909091</v>
      </c>
      <c r="Z16" s="88">
        <v>2866.52</v>
      </c>
      <c r="AA16" s="167">
        <f t="shared" si="15"/>
        <v>52.118545454545455</v>
      </c>
      <c r="AC16" s="59" t="s">
        <v>4</v>
      </c>
      <c r="AD16" s="60">
        <v>2023</v>
      </c>
      <c r="AE16" s="61">
        <v>59</v>
      </c>
      <c r="AF16" s="80">
        <v>4437.7</v>
      </c>
      <c r="AG16" s="94">
        <f t="shared" si="3"/>
        <v>9.7317982456140353</v>
      </c>
      <c r="AH16" s="109"/>
    </row>
    <row r="17" spans="1:35" ht="15.75" thickBot="1" x14ac:dyDescent="0.3">
      <c r="A17" s="166" t="s">
        <v>5</v>
      </c>
      <c r="B17" s="43">
        <v>2022</v>
      </c>
      <c r="C17" s="144">
        <v>55</v>
      </c>
      <c r="D17" s="145">
        <v>41062</v>
      </c>
      <c r="E17" s="145">
        <v>19563</v>
      </c>
      <c r="F17" s="145">
        <v>32954</v>
      </c>
      <c r="G17" s="92">
        <f t="shared" si="13"/>
        <v>954</v>
      </c>
      <c r="H17" s="92">
        <f t="shared" si="4"/>
        <v>259</v>
      </c>
      <c r="I17" s="92">
        <f t="shared" si="5"/>
        <v>538</v>
      </c>
      <c r="J17" s="144">
        <f t="shared" si="0"/>
        <v>1751</v>
      </c>
      <c r="K17" s="144">
        <f t="shared" si="14"/>
        <v>31.836363636363636</v>
      </c>
      <c r="L17" s="146">
        <v>131.16</v>
      </c>
      <c r="M17" s="146">
        <v>178.21</v>
      </c>
      <c r="N17" s="146">
        <v>326.19</v>
      </c>
      <c r="O17" s="111">
        <f t="shared" si="12"/>
        <v>1.8199999999999932</v>
      </c>
      <c r="P17" s="111">
        <f t="shared" si="2"/>
        <v>2.7699999999999818</v>
      </c>
      <c r="Q17" s="111">
        <f t="shared" si="2"/>
        <v>5.5099999999999909</v>
      </c>
      <c r="R17" s="147">
        <f t="shared" si="6"/>
        <v>10.099999999999966</v>
      </c>
      <c r="S17" s="113">
        <f t="shared" si="7"/>
        <v>0.18363636363636301</v>
      </c>
      <c r="T17" s="148">
        <v>322912</v>
      </c>
      <c r="U17" s="149">
        <f t="shared" si="10"/>
        <v>5640</v>
      </c>
      <c r="V17" s="148">
        <v>45827</v>
      </c>
      <c r="W17" s="148">
        <f t="shared" si="11"/>
        <v>125</v>
      </c>
      <c r="X17" s="149">
        <f t="shared" si="8"/>
        <v>5765</v>
      </c>
      <c r="Y17" s="116">
        <f t="shared" si="9"/>
        <v>104.81818181818181</v>
      </c>
      <c r="Z17" s="88">
        <v>1302.54</v>
      </c>
      <c r="AA17" s="167">
        <f t="shared" si="15"/>
        <v>23.682545454545455</v>
      </c>
      <c r="AC17" s="59" t="s">
        <v>5</v>
      </c>
      <c r="AD17" s="60">
        <v>2023</v>
      </c>
      <c r="AE17" s="61">
        <v>59</v>
      </c>
      <c r="AF17" s="80">
        <v>7320.06</v>
      </c>
      <c r="AG17" s="94">
        <f t="shared" si="3"/>
        <v>13.606059479553904</v>
      </c>
      <c r="AH17" s="109"/>
    </row>
    <row r="18" spans="1:35" ht="15.75" thickBot="1" x14ac:dyDescent="0.3">
      <c r="A18" s="166" t="s">
        <v>6</v>
      </c>
      <c r="B18" s="43">
        <v>2022</v>
      </c>
      <c r="C18" s="144">
        <v>55</v>
      </c>
      <c r="D18" s="145">
        <v>42016</v>
      </c>
      <c r="E18" s="145">
        <v>19822</v>
      </c>
      <c r="F18" s="145">
        <v>33492</v>
      </c>
      <c r="G18" s="92">
        <f t="shared" si="13"/>
        <v>982</v>
      </c>
      <c r="H18" s="92">
        <f t="shared" si="4"/>
        <v>282</v>
      </c>
      <c r="I18" s="92">
        <f t="shared" si="5"/>
        <v>527</v>
      </c>
      <c r="J18" s="144">
        <f t="shared" si="0"/>
        <v>1791</v>
      </c>
      <c r="K18" s="144">
        <f t="shared" si="14"/>
        <v>32.563636363636363</v>
      </c>
      <c r="L18" s="146">
        <v>132.97999999999999</v>
      </c>
      <c r="M18" s="146">
        <v>180.98</v>
      </c>
      <c r="N18" s="146">
        <v>331.7</v>
      </c>
      <c r="O18" s="111">
        <f t="shared" si="12"/>
        <v>1.6300000000000239</v>
      </c>
      <c r="P18" s="111">
        <f t="shared" si="12"/>
        <v>2.9000000000000057</v>
      </c>
      <c r="Q18" s="111">
        <f t="shared" si="12"/>
        <v>6.1700000000000159</v>
      </c>
      <c r="R18" s="147">
        <f t="shared" si="6"/>
        <v>10.700000000000045</v>
      </c>
      <c r="S18" s="113">
        <f t="shared" si="7"/>
        <v>0.19454545454545538</v>
      </c>
      <c r="T18" s="148">
        <v>328564</v>
      </c>
      <c r="U18" s="149">
        <f t="shared" si="10"/>
        <v>5652</v>
      </c>
      <c r="V18" s="148">
        <v>45947</v>
      </c>
      <c r="W18" s="148">
        <f t="shared" si="11"/>
        <v>120</v>
      </c>
      <c r="X18" s="149">
        <f t="shared" si="8"/>
        <v>5772</v>
      </c>
      <c r="Y18" s="116">
        <f t="shared" si="9"/>
        <v>104.94545454545455</v>
      </c>
      <c r="Z18" s="88">
        <v>2700.2889999999998</v>
      </c>
      <c r="AA18" s="167">
        <f t="shared" si="15"/>
        <v>49.096163636363634</v>
      </c>
      <c r="AC18" s="59" t="s">
        <v>6</v>
      </c>
      <c r="AD18" s="60">
        <v>2023</v>
      </c>
      <c r="AE18" s="61">
        <v>59</v>
      </c>
      <c r="AF18" s="80">
        <v>6870.43</v>
      </c>
      <c r="AG18" s="94">
        <f t="shared" si="3"/>
        <v>13.036869070208729</v>
      </c>
      <c r="AH18" s="109"/>
      <c r="AI18" s="72" t="s">
        <v>36</v>
      </c>
    </row>
    <row r="19" spans="1:35" ht="15.75" thickBot="1" x14ac:dyDescent="0.3">
      <c r="A19" s="166" t="s">
        <v>7</v>
      </c>
      <c r="B19" s="43">
        <v>2022</v>
      </c>
      <c r="C19" s="144">
        <v>55</v>
      </c>
      <c r="D19" s="145">
        <v>42998</v>
      </c>
      <c r="E19" s="145">
        <v>20104</v>
      </c>
      <c r="F19" s="145">
        <v>34019</v>
      </c>
      <c r="G19" s="92">
        <f t="shared" si="13"/>
        <v>1330</v>
      </c>
      <c r="H19" s="92">
        <f t="shared" si="4"/>
        <v>308</v>
      </c>
      <c r="I19" s="92">
        <f t="shared" si="5"/>
        <v>561</v>
      </c>
      <c r="J19" s="144">
        <f t="shared" si="0"/>
        <v>2199</v>
      </c>
      <c r="K19" s="144">
        <f t="shared" si="14"/>
        <v>39.981818181818184</v>
      </c>
      <c r="L19" s="146">
        <v>134.61000000000001</v>
      </c>
      <c r="M19" s="146">
        <v>183.88</v>
      </c>
      <c r="N19" s="146">
        <v>337.87</v>
      </c>
      <c r="O19" s="111">
        <f t="shared" si="12"/>
        <v>2.8699999999999761</v>
      </c>
      <c r="P19" s="111">
        <f t="shared" si="12"/>
        <v>3.9900000000000091</v>
      </c>
      <c r="Q19" s="111">
        <f t="shared" si="12"/>
        <v>4.7199999999999704</v>
      </c>
      <c r="R19" s="147">
        <f t="shared" si="6"/>
        <v>11.579999999999956</v>
      </c>
      <c r="S19" s="113">
        <f t="shared" si="7"/>
        <v>0.21054545454545373</v>
      </c>
      <c r="T19" s="148">
        <v>335699</v>
      </c>
      <c r="U19" s="149">
        <f t="shared" si="10"/>
        <v>7135</v>
      </c>
      <c r="V19" s="148">
        <v>46118</v>
      </c>
      <c r="W19" s="148">
        <f t="shared" si="11"/>
        <v>171</v>
      </c>
      <c r="X19" s="149">
        <f t="shared" si="8"/>
        <v>7306</v>
      </c>
      <c r="Y19" s="116">
        <f t="shared" si="9"/>
        <v>132.83636363636364</v>
      </c>
      <c r="Z19" s="88">
        <v>1513.93</v>
      </c>
      <c r="AA19" s="167">
        <f t="shared" si="15"/>
        <v>27.526</v>
      </c>
      <c r="AC19" s="59" t="s">
        <v>7</v>
      </c>
      <c r="AD19" s="60">
        <v>2023</v>
      </c>
      <c r="AE19" s="61">
        <v>59</v>
      </c>
      <c r="AF19" s="80">
        <v>2715</v>
      </c>
      <c r="AG19" s="94">
        <f t="shared" si="3"/>
        <v>4.8395721925133692</v>
      </c>
      <c r="AH19" s="109"/>
      <c r="AI19" s="72" t="s">
        <v>37</v>
      </c>
    </row>
    <row r="20" spans="1:35" ht="15.75" thickBot="1" x14ac:dyDescent="0.3">
      <c r="A20" s="166" t="s">
        <v>8</v>
      </c>
      <c r="B20" s="43">
        <v>2022</v>
      </c>
      <c r="C20" s="144">
        <v>55</v>
      </c>
      <c r="D20" s="145">
        <v>44328</v>
      </c>
      <c r="E20" s="145">
        <v>20412</v>
      </c>
      <c r="F20" s="145">
        <v>34580</v>
      </c>
      <c r="G20" s="92">
        <f t="shared" si="13"/>
        <v>1316</v>
      </c>
      <c r="H20" s="92">
        <f t="shared" si="4"/>
        <v>287</v>
      </c>
      <c r="I20" s="92">
        <f t="shared" si="5"/>
        <v>572</v>
      </c>
      <c r="J20" s="144">
        <f t="shared" si="0"/>
        <v>2175</v>
      </c>
      <c r="K20" s="144">
        <f t="shared" si="14"/>
        <v>39.545454545454547</v>
      </c>
      <c r="L20" s="146">
        <v>137.47999999999999</v>
      </c>
      <c r="M20" s="146">
        <v>187.87</v>
      </c>
      <c r="N20" s="146">
        <v>342.59</v>
      </c>
      <c r="O20" s="111">
        <f t="shared" si="12"/>
        <v>1.8100000000000023</v>
      </c>
      <c r="P20" s="111">
        <f t="shared" si="12"/>
        <v>3.3599999999999852</v>
      </c>
      <c r="Q20" s="111">
        <f t="shared" si="12"/>
        <v>7.0600000000000023</v>
      </c>
      <c r="R20" s="147">
        <f t="shared" si="6"/>
        <v>12.22999999999999</v>
      </c>
      <c r="S20" s="113">
        <f t="shared" si="7"/>
        <v>0.22236363636363618</v>
      </c>
      <c r="T20" s="148">
        <v>343804</v>
      </c>
      <c r="U20" s="149">
        <f t="shared" si="10"/>
        <v>8105</v>
      </c>
      <c r="V20" s="148">
        <v>46581</v>
      </c>
      <c r="W20" s="148">
        <f t="shared" si="11"/>
        <v>463</v>
      </c>
      <c r="X20" s="149">
        <f t="shared" si="8"/>
        <v>8568</v>
      </c>
      <c r="Y20" s="116">
        <f t="shared" si="9"/>
        <v>155.78181818181818</v>
      </c>
      <c r="Z20" s="88">
        <v>1592.31</v>
      </c>
      <c r="AA20" s="167">
        <f t="shared" si="15"/>
        <v>28.951090909090908</v>
      </c>
      <c r="AC20" s="59" t="s">
        <v>8</v>
      </c>
      <c r="AD20" s="60">
        <v>2023</v>
      </c>
      <c r="AE20" s="61">
        <v>59</v>
      </c>
      <c r="AF20" s="80">
        <v>0</v>
      </c>
      <c r="AG20" s="94">
        <f t="shared" si="3"/>
        <v>0</v>
      </c>
      <c r="AH20" s="109"/>
      <c r="AI20" s="72" t="s">
        <v>38</v>
      </c>
    </row>
    <row r="21" spans="1:35" ht="15.75" thickBot="1" x14ac:dyDescent="0.3">
      <c r="A21" s="166" t="s">
        <v>9</v>
      </c>
      <c r="B21" s="43">
        <v>2022</v>
      </c>
      <c r="C21" s="144">
        <v>55</v>
      </c>
      <c r="D21" s="145">
        <v>45644</v>
      </c>
      <c r="E21" s="145">
        <v>20699</v>
      </c>
      <c r="F21" s="145">
        <v>35152</v>
      </c>
      <c r="G21" s="92">
        <f t="shared" si="13"/>
        <v>1223</v>
      </c>
      <c r="H21" s="92">
        <f t="shared" si="4"/>
        <v>275</v>
      </c>
      <c r="I21" s="92">
        <f t="shared" si="5"/>
        <v>518</v>
      </c>
      <c r="J21" s="144">
        <f t="shared" si="0"/>
        <v>2016</v>
      </c>
      <c r="K21" s="144">
        <f t="shared" si="14"/>
        <v>36.654545454545456</v>
      </c>
      <c r="L21" s="146">
        <v>139.29</v>
      </c>
      <c r="M21" s="146">
        <v>191.23</v>
      </c>
      <c r="N21" s="146">
        <v>349.65</v>
      </c>
      <c r="O21" s="111">
        <f t="shared" si="12"/>
        <v>1.8700000000000045</v>
      </c>
      <c r="P21" s="111">
        <f t="shared" si="12"/>
        <v>2.5700000000000216</v>
      </c>
      <c r="Q21" s="111">
        <f t="shared" si="12"/>
        <v>3.8600000000000136</v>
      </c>
      <c r="R21" s="147">
        <f t="shared" si="6"/>
        <v>8.3000000000000398</v>
      </c>
      <c r="S21" s="113">
        <f t="shared" si="7"/>
        <v>0.15090909090909163</v>
      </c>
      <c r="T21" s="150"/>
      <c r="U21" s="150">
        <f>(T24-T20)/4</f>
        <v>7843.25</v>
      </c>
      <c r="V21" s="67"/>
      <c r="W21" s="151">
        <f>(V24-V20)/4</f>
        <v>1090</v>
      </c>
      <c r="X21" s="149">
        <f t="shared" si="8"/>
        <v>8933.25</v>
      </c>
      <c r="Y21" s="116">
        <f t="shared" si="9"/>
        <v>162.42272727272729</v>
      </c>
      <c r="Z21" s="88">
        <v>844.34</v>
      </c>
      <c r="AA21" s="167">
        <f t="shared" si="15"/>
        <v>15.351636363636365</v>
      </c>
      <c r="AC21" s="59" t="s">
        <v>9</v>
      </c>
      <c r="AD21" s="60">
        <v>2023</v>
      </c>
      <c r="AE21" s="61">
        <v>59</v>
      </c>
      <c r="AF21" s="80">
        <v>7633</v>
      </c>
      <c r="AG21" s="94">
        <f t="shared" si="3"/>
        <v>14.735521235521235</v>
      </c>
      <c r="AH21" s="109"/>
    </row>
    <row r="22" spans="1:35" ht="15.75" thickBot="1" x14ac:dyDescent="0.3">
      <c r="A22" s="166" t="s">
        <v>10</v>
      </c>
      <c r="B22" s="43">
        <v>2022</v>
      </c>
      <c r="C22" s="144">
        <v>55</v>
      </c>
      <c r="D22" s="145">
        <v>46867</v>
      </c>
      <c r="E22" s="145">
        <v>20974</v>
      </c>
      <c r="F22" s="145">
        <v>35670</v>
      </c>
      <c r="G22" s="92">
        <f t="shared" si="13"/>
        <v>1401</v>
      </c>
      <c r="H22" s="92">
        <f t="shared" si="4"/>
        <v>328</v>
      </c>
      <c r="I22" s="92">
        <f t="shared" si="5"/>
        <v>583</v>
      </c>
      <c r="J22" s="144">
        <f t="shared" si="0"/>
        <v>2312</v>
      </c>
      <c r="K22" s="152">
        <f t="shared" si="14"/>
        <v>42.036363636363639</v>
      </c>
      <c r="L22" s="146">
        <v>141.16</v>
      </c>
      <c r="M22" s="146">
        <v>193.8</v>
      </c>
      <c r="N22" s="146">
        <v>353.51</v>
      </c>
      <c r="O22" s="111">
        <f t="shared" si="12"/>
        <v>2.2000000000000171</v>
      </c>
      <c r="P22" s="111">
        <f t="shared" si="12"/>
        <v>4</v>
      </c>
      <c r="Q22" s="111">
        <f t="shared" si="12"/>
        <v>5.6299999999999955</v>
      </c>
      <c r="R22" s="147">
        <f t="shared" si="6"/>
        <v>11.830000000000013</v>
      </c>
      <c r="S22" s="113">
        <f t="shared" si="7"/>
        <v>0.2150909090909093</v>
      </c>
      <c r="T22" s="67"/>
      <c r="U22" s="150">
        <f>(T24-T20)/4</f>
        <v>7843.25</v>
      </c>
      <c r="V22" s="67"/>
      <c r="W22" s="151">
        <f>(V24-V20)/4</f>
        <v>1090</v>
      </c>
      <c r="X22" s="149">
        <f t="shared" si="8"/>
        <v>8933.25</v>
      </c>
      <c r="Y22" s="116">
        <f t="shared" si="9"/>
        <v>162.42272727272729</v>
      </c>
      <c r="Z22" s="88">
        <v>3125.51</v>
      </c>
      <c r="AA22" s="167">
        <f t="shared" si="15"/>
        <v>56.82745454545455</v>
      </c>
      <c r="AC22" s="59" t="s">
        <v>10</v>
      </c>
      <c r="AD22" s="60">
        <v>2023</v>
      </c>
      <c r="AE22" s="61">
        <v>59</v>
      </c>
      <c r="AF22" s="80">
        <v>4186</v>
      </c>
      <c r="AG22" s="94">
        <f t="shared" si="3"/>
        <v>7.1801029159519727</v>
      </c>
      <c r="AH22" s="109"/>
    </row>
    <row r="23" spans="1:35" ht="15.75" thickBot="1" x14ac:dyDescent="0.3">
      <c r="A23" s="166" t="s">
        <v>11</v>
      </c>
      <c r="B23" s="43">
        <v>2022</v>
      </c>
      <c r="C23" s="144">
        <v>55</v>
      </c>
      <c r="D23" s="43">
        <v>48268</v>
      </c>
      <c r="E23" s="43">
        <v>21302</v>
      </c>
      <c r="F23" s="43">
        <v>36253</v>
      </c>
      <c r="G23" s="92">
        <f t="shared" si="13"/>
        <v>1312</v>
      </c>
      <c r="H23" s="92">
        <f t="shared" si="4"/>
        <v>443</v>
      </c>
      <c r="I23" s="92">
        <f t="shared" si="5"/>
        <v>607</v>
      </c>
      <c r="J23" s="144">
        <f t="shared" si="0"/>
        <v>2362</v>
      </c>
      <c r="K23" s="152">
        <f t="shared" si="14"/>
        <v>42.945454545454545</v>
      </c>
      <c r="L23" s="43">
        <v>143.36000000000001</v>
      </c>
      <c r="M23" s="43">
        <v>197.8</v>
      </c>
      <c r="N23" s="43">
        <v>359.14</v>
      </c>
      <c r="O23" s="111">
        <f t="shared" ref="O23:Q38" si="16">L24-L23</f>
        <v>1.539999999999992</v>
      </c>
      <c r="P23" s="111">
        <f t="shared" si="16"/>
        <v>4.1699999999999875</v>
      </c>
      <c r="Q23" s="111">
        <f t="shared" si="16"/>
        <v>4.5400000000000205</v>
      </c>
      <c r="R23" s="147">
        <f t="shared" si="6"/>
        <v>10.25</v>
      </c>
      <c r="S23" s="113">
        <f t="shared" si="7"/>
        <v>0.18636363636363637</v>
      </c>
      <c r="T23" s="67"/>
      <c r="U23" s="150">
        <f>(T24-T20)/4</f>
        <v>7843.25</v>
      </c>
      <c r="V23" s="67"/>
      <c r="W23" s="67">
        <f>(V24-V20)/4</f>
        <v>1090</v>
      </c>
      <c r="X23" s="149">
        <f t="shared" si="8"/>
        <v>8933.25</v>
      </c>
      <c r="Y23" s="116">
        <f t="shared" si="9"/>
        <v>162.42272727272729</v>
      </c>
      <c r="Z23" s="88">
        <v>3092.17</v>
      </c>
      <c r="AA23" s="167">
        <f t="shared" si="15"/>
        <v>56.221272727272726</v>
      </c>
      <c r="AC23" s="59" t="s">
        <v>11</v>
      </c>
      <c r="AD23" s="60">
        <v>2023</v>
      </c>
      <c r="AE23" s="61">
        <v>59</v>
      </c>
      <c r="AF23" s="80">
        <v>2309</v>
      </c>
      <c r="AG23" s="94">
        <f t="shared" si="3"/>
        <v>3.8039538714991763</v>
      </c>
      <c r="AH23" s="109"/>
    </row>
    <row r="24" spans="1:35" ht="15.75" thickBot="1" x14ac:dyDescent="0.3">
      <c r="A24" s="166" t="s">
        <v>12</v>
      </c>
      <c r="B24" s="43">
        <v>2022</v>
      </c>
      <c r="C24" s="144">
        <v>55</v>
      </c>
      <c r="D24" s="43">
        <v>49580</v>
      </c>
      <c r="E24" s="43">
        <v>21745</v>
      </c>
      <c r="F24" s="43">
        <v>36860</v>
      </c>
      <c r="G24" s="92">
        <f t="shared" si="13"/>
        <v>1130</v>
      </c>
      <c r="H24" s="92">
        <f t="shared" si="4"/>
        <v>358</v>
      </c>
      <c r="I24" s="92">
        <f t="shared" si="5"/>
        <v>610</v>
      </c>
      <c r="J24" s="144">
        <f t="shared" si="0"/>
        <v>2098</v>
      </c>
      <c r="K24" s="152">
        <f t="shared" si="14"/>
        <v>38.145454545454548</v>
      </c>
      <c r="L24" s="43">
        <v>144.9</v>
      </c>
      <c r="M24" s="43">
        <v>201.97</v>
      </c>
      <c r="N24" s="43">
        <v>363.68</v>
      </c>
      <c r="O24" s="111">
        <f t="shared" si="16"/>
        <v>1.4899999999999807</v>
      </c>
      <c r="P24" s="111">
        <f t="shared" si="16"/>
        <v>3.2800000000000011</v>
      </c>
      <c r="Q24" s="111">
        <f t="shared" si="16"/>
        <v>5.0799999999999841</v>
      </c>
      <c r="R24" s="147">
        <f t="shared" si="6"/>
        <v>9.8499999999999659</v>
      </c>
      <c r="S24" s="113">
        <f t="shared" si="7"/>
        <v>0.17909090909090847</v>
      </c>
      <c r="T24" s="148">
        <v>375177</v>
      </c>
      <c r="U24" s="149">
        <f>(T24-T20)/4</f>
        <v>7843.25</v>
      </c>
      <c r="V24" s="148">
        <v>50941</v>
      </c>
      <c r="W24" s="43">
        <f>(V24-V20)/4</f>
        <v>1090</v>
      </c>
      <c r="X24" s="149">
        <f t="shared" si="8"/>
        <v>8933.25</v>
      </c>
      <c r="Y24" s="116">
        <f t="shared" si="9"/>
        <v>162.42272727272729</v>
      </c>
      <c r="Z24" s="88">
        <v>1456.24</v>
      </c>
      <c r="AA24" s="167">
        <f t="shared" si="15"/>
        <v>26.477090909090908</v>
      </c>
      <c r="AC24" s="59" t="s">
        <v>12</v>
      </c>
      <c r="AD24" s="60">
        <v>2023</v>
      </c>
      <c r="AE24" s="61">
        <v>59</v>
      </c>
      <c r="AF24" s="80">
        <v>5236</v>
      </c>
      <c r="AG24" s="94">
        <f t="shared" si="3"/>
        <v>8.583606557377049</v>
      </c>
      <c r="AH24" s="109"/>
    </row>
    <row r="25" spans="1:35" ht="15.75" thickBot="1" x14ac:dyDescent="0.3">
      <c r="A25" s="168" t="s">
        <v>13</v>
      </c>
      <c r="B25" s="169">
        <v>2022</v>
      </c>
      <c r="C25" s="170">
        <v>55</v>
      </c>
      <c r="D25" s="169">
        <v>50710</v>
      </c>
      <c r="E25" s="169">
        <v>22103</v>
      </c>
      <c r="F25" s="169">
        <v>37470</v>
      </c>
      <c r="G25" s="171">
        <f t="shared" si="13"/>
        <v>1173</v>
      </c>
      <c r="H25" s="171">
        <f t="shared" si="4"/>
        <v>449</v>
      </c>
      <c r="I25" s="171">
        <f t="shared" si="5"/>
        <v>635</v>
      </c>
      <c r="J25" s="170">
        <f t="shared" si="0"/>
        <v>2257</v>
      </c>
      <c r="K25" s="172">
        <f t="shared" si="14"/>
        <v>41.036363636363639</v>
      </c>
      <c r="L25" s="169">
        <v>146.38999999999999</v>
      </c>
      <c r="M25" s="169">
        <v>205.25</v>
      </c>
      <c r="N25" s="169">
        <v>368.76</v>
      </c>
      <c r="O25" s="173">
        <f t="shared" si="16"/>
        <v>1.6500000000000057</v>
      </c>
      <c r="P25" s="173">
        <f t="shared" si="16"/>
        <v>3.75</v>
      </c>
      <c r="Q25" s="173">
        <f t="shared" si="16"/>
        <v>4.7300000000000182</v>
      </c>
      <c r="R25" s="174">
        <f t="shared" si="6"/>
        <v>10.130000000000024</v>
      </c>
      <c r="S25" s="175">
        <f t="shared" si="7"/>
        <v>0.18418181818181861</v>
      </c>
      <c r="T25" s="176">
        <v>378956</v>
      </c>
      <c r="U25" s="176">
        <f>T25-T24</f>
        <v>3779</v>
      </c>
      <c r="V25" s="177">
        <v>51199</v>
      </c>
      <c r="W25" s="176">
        <f>V25-V24</f>
        <v>258</v>
      </c>
      <c r="X25" s="176">
        <f t="shared" si="8"/>
        <v>4037</v>
      </c>
      <c r="Y25" s="116">
        <f t="shared" si="9"/>
        <v>73.400000000000006</v>
      </c>
      <c r="Z25" s="178">
        <v>1336.48</v>
      </c>
      <c r="AA25" s="179">
        <f t="shared" si="15"/>
        <v>24.299636363636363</v>
      </c>
      <c r="AC25" s="82" t="s">
        <v>13</v>
      </c>
      <c r="AD25" s="83">
        <v>2023</v>
      </c>
      <c r="AE25" s="84">
        <v>59</v>
      </c>
      <c r="AF25" s="85">
        <v>1867</v>
      </c>
      <c r="AG25" s="94">
        <f t="shared" si="3"/>
        <v>2.9401574803149608</v>
      </c>
      <c r="AH25" s="109"/>
    </row>
    <row r="26" spans="1:35" ht="15.75" thickBot="1" x14ac:dyDescent="0.3">
      <c r="A26" s="133" t="s">
        <v>2</v>
      </c>
      <c r="B26" s="134">
        <v>2023</v>
      </c>
      <c r="C26" s="135">
        <v>59</v>
      </c>
      <c r="D26" s="134">
        <v>51883</v>
      </c>
      <c r="E26" s="134">
        <v>22552</v>
      </c>
      <c r="F26" s="134">
        <v>38105</v>
      </c>
      <c r="G26" s="136">
        <f t="shared" si="13"/>
        <v>1127</v>
      </c>
      <c r="H26" s="136">
        <f t="shared" si="4"/>
        <v>367</v>
      </c>
      <c r="I26" s="136">
        <f t="shared" si="5"/>
        <v>530</v>
      </c>
      <c r="J26" s="135">
        <f t="shared" si="0"/>
        <v>2024</v>
      </c>
      <c r="K26" s="135">
        <f t="shared" si="14"/>
        <v>34.305084745762713</v>
      </c>
      <c r="L26" s="134">
        <v>148.04</v>
      </c>
      <c r="M26" s="134">
        <v>209</v>
      </c>
      <c r="N26" s="134">
        <v>373.49</v>
      </c>
      <c r="O26" s="137">
        <f t="shared" si="16"/>
        <v>1.7400000000000091</v>
      </c>
      <c r="P26" s="137">
        <f t="shared" si="16"/>
        <v>3.7299999999999898</v>
      </c>
      <c r="Q26" s="137">
        <f t="shared" si="16"/>
        <v>4.7400000000000091</v>
      </c>
      <c r="R26" s="138">
        <f t="shared" si="6"/>
        <v>10.210000000000008</v>
      </c>
      <c r="S26" s="139">
        <f t="shared" si="7"/>
        <v>0.17305084745762725</v>
      </c>
      <c r="T26" s="140"/>
      <c r="U26" s="141">
        <f>(T28-T25)/3</f>
        <v>4180.333333333333</v>
      </c>
      <c r="V26" s="140"/>
      <c r="W26" s="134">
        <f>(V28-V25)/3</f>
        <v>168</v>
      </c>
      <c r="X26" s="115">
        <f>U26+W26</f>
        <v>4348.333333333333</v>
      </c>
      <c r="Y26" s="42">
        <f t="shared" si="9"/>
        <v>73.700564971751405</v>
      </c>
      <c r="Z26" s="142">
        <v>3633.85</v>
      </c>
      <c r="AA26" s="143">
        <f t="shared" si="15"/>
        <v>61.590677966101694</v>
      </c>
      <c r="AC26" s="1" t="s">
        <v>2</v>
      </c>
      <c r="AD26" s="43">
        <v>2024</v>
      </c>
      <c r="AE26" s="43">
        <v>66</v>
      </c>
      <c r="AF26" s="88">
        <v>6381</v>
      </c>
      <c r="AG26" s="94">
        <f t="shared" si="3"/>
        <v>12.039622641509434</v>
      </c>
      <c r="AH26" s="109"/>
    </row>
    <row r="27" spans="1:35" ht="15.75" thickBot="1" x14ac:dyDescent="0.3">
      <c r="A27" s="59" t="s">
        <v>3</v>
      </c>
      <c r="B27" s="60">
        <v>2023</v>
      </c>
      <c r="C27" s="61">
        <v>59</v>
      </c>
      <c r="D27" s="60">
        <v>53010</v>
      </c>
      <c r="E27" s="60">
        <v>22919</v>
      </c>
      <c r="F27" s="60">
        <v>38635</v>
      </c>
      <c r="G27" s="62">
        <f t="shared" si="13"/>
        <v>1065</v>
      </c>
      <c r="H27" s="62">
        <f t="shared" si="4"/>
        <v>410</v>
      </c>
      <c r="I27" s="62">
        <f t="shared" si="5"/>
        <v>599</v>
      </c>
      <c r="J27" s="61">
        <f t="shared" si="0"/>
        <v>2074</v>
      </c>
      <c r="K27" s="61">
        <f t="shared" si="14"/>
        <v>35.152542372881356</v>
      </c>
      <c r="L27" s="60">
        <v>149.78</v>
      </c>
      <c r="M27" s="60">
        <v>212.73</v>
      </c>
      <c r="N27" s="60">
        <v>378.23</v>
      </c>
      <c r="O27" s="63">
        <f t="shared" si="16"/>
        <v>1.8300000000000125</v>
      </c>
      <c r="P27" s="63">
        <f t="shared" si="16"/>
        <v>4.0600000000000023</v>
      </c>
      <c r="Q27" s="63">
        <f t="shared" si="16"/>
        <v>6.5799999999999841</v>
      </c>
      <c r="R27" s="64">
        <f t="shared" si="6"/>
        <v>12.469999999999999</v>
      </c>
      <c r="S27" s="65">
        <f t="shared" si="7"/>
        <v>0.2113559322033898</v>
      </c>
      <c r="T27" s="67"/>
      <c r="U27" s="68">
        <f>U26</f>
        <v>4180.333333333333</v>
      </c>
      <c r="V27" s="67"/>
      <c r="W27" s="60">
        <f>W26</f>
        <v>168</v>
      </c>
      <c r="X27" s="105">
        <f t="shared" ref="X27:X34" si="17">U27+W27</f>
        <v>4348.333333333333</v>
      </c>
      <c r="Y27" s="42">
        <f t="shared" si="9"/>
        <v>73.700564971751405</v>
      </c>
      <c r="Z27" s="80">
        <v>2830.73</v>
      </c>
      <c r="AA27" s="94">
        <f t="shared" si="15"/>
        <v>47.978474576271189</v>
      </c>
      <c r="AC27" s="1" t="s">
        <v>3</v>
      </c>
      <c r="AD27" s="43">
        <v>2024</v>
      </c>
      <c r="AE27" s="43">
        <v>66</v>
      </c>
      <c r="AF27" s="88">
        <v>5197</v>
      </c>
      <c r="AG27" s="94">
        <f t="shared" si="3"/>
        <v>8.6761268781302174</v>
      </c>
      <c r="AH27" s="109"/>
    </row>
    <row r="28" spans="1:35" ht="15.75" thickBot="1" x14ac:dyDescent="0.3">
      <c r="A28" s="59" t="s">
        <v>4</v>
      </c>
      <c r="B28" s="60">
        <v>2023</v>
      </c>
      <c r="C28" s="61">
        <v>59</v>
      </c>
      <c r="D28" s="60">
        <v>54075</v>
      </c>
      <c r="E28" s="60">
        <v>23329</v>
      </c>
      <c r="F28" s="60">
        <v>39234</v>
      </c>
      <c r="G28" s="62">
        <f t="shared" si="13"/>
        <v>1047</v>
      </c>
      <c r="H28" s="62">
        <f t="shared" si="4"/>
        <v>330</v>
      </c>
      <c r="I28" s="62">
        <f t="shared" si="5"/>
        <v>583</v>
      </c>
      <c r="J28" s="61">
        <f t="shared" si="0"/>
        <v>1960</v>
      </c>
      <c r="K28" s="61">
        <f t="shared" si="14"/>
        <v>33.220338983050844</v>
      </c>
      <c r="L28" s="60">
        <v>151.61000000000001</v>
      </c>
      <c r="M28" s="60">
        <v>216.79</v>
      </c>
      <c r="N28" s="60">
        <v>384.81</v>
      </c>
      <c r="O28" s="63">
        <f t="shared" si="16"/>
        <v>2.289999999999992</v>
      </c>
      <c r="P28" s="63">
        <f t="shared" si="16"/>
        <v>3.6500000000000057</v>
      </c>
      <c r="Q28" s="63">
        <f t="shared" si="16"/>
        <v>4.4499999999999886</v>
      </c>
      <c r="R28" s="64">
        <f t="shared" si="6"/>
        <v>10.389999999999986</v>
      </c>
      <c r="S28" s="65">
        <f t="shared" si="7"/>
        <v>0.17610169491525401</v>
      </c>
      <c r="T28" s="60">
        <v>391497</v>
      </c>
      <c r="U28" s="68">
        <f>U27</f>
        <v>4180.333333333333</v>
      </c>
      <c r="V28" s="60">
        <v>51703</v>
      </c>
      <c r="W28" s="60">
        <f>W27</f>
        <v>168</v>
      </c>
      <c r="X28" s="105">
        <f t="shared" si="17"/>
        <v>4348.333333333333</v>
      </c>
      <c r="Y28" s="42">
        <f t="shared" si="9"/>
        <v>73.700564971751405</v>
      </c>
      <c r="Z28" s="80">
        <v>4437.7</v>
      </c>
      <c r="AA28" s="94">
        <f t="shared" si="15"/>
        <v>75.215254237288136</v>
      </c>
      <c r="AC28" s="1" t="s">
        <v>4</v>
      </c>
      <c r="AD28" s="43">
        <v>2024</v>
      </c>
      <c r="AE28" s="43">
        <v>66</v>
      </c>
      <c r="AF28" s="88">
        <v>2250</v>
      </c>
      <c r="AG28" s="94">
        <f t="shared" si="3"/>
        <v>3.8593481989708405</v>
      </c>
      <c r="AH28" s="109"/>
    </row>
    <row r="29" spans="1:35" ht="15.75" thickBot="1" x14ac:dyDescent="0.3">
      <c r="A29" s="59" t="s">
        <v>5</v>
      </c>
      <c r="B29" s="60">
        <v>2023</v>
      </c>
      <c r="C29" s="61">
        <v>59</v>
      </c>
      <c r="D29" s="60">
        <v>55122</v>
      </c>
      <c r="E29" s="60">
        <v>23659</v>
      </c>
      <c r="F29" s="60">
        <v>39817</v>
      </c>
      <c r="G29" s="62">
        <f t="shared" si="13"/>
        <v>1045</v>
      </c>
      <c r="H29" s="62">
        <f t="shared" si="4"/>
        <v>338</v>
      </c>
      <c r="I29" s="62">
        <f t="shared" si="5"/>
        <v>661</v>
      </c>
      <c r="J29" s="61">
        <f t="shared" si="0"/>
        <v>2044</v>
      </c>
      <c r="K29" s="61">
        <f t="shared" si="14"/>
        <v>34.644067796610166</v>
      </c>
      <c r="L29" s="60">
        <v>153.9</v>
      </c>
      <c r="M29" s="60">
        <v>220.44</v>
      </c>
      <c r="N29" s="60">
        <v>389.26</v>
      </c>
      <c r="O29" s="63">
        <f t="shared" si="16"/>
        <v>2.0099999999999909</v>
      </c>
      <c r="P29" s="63">
        <f t="shared" si="16"/>
        <v>3.210000000000008</v>
      </c>
      <c r="Q29" s="63">
        <f t="shared" si="16"/>
        <v>4.4300000000000068</v>
      </c>
      <c r="R29" s="64">
        <f t="shared" si="6"/>
        <v>9.6500000000000057</v>
      </c>
      <c r="S29" s="65">
        <f t="shared" si="7"/>
        <v>0.16355932203389839</v>
      </c>
      <c r="T29" s="67"/>
      <c r="U29" s="69">
        <f>(T31-T28)/3.5</f>
        <v>8427.7142857142862</v>
      </c>
      <c r="V29" s="67"/>
      <c r="W29" s="69">
        <f>(V31-V28)/3.5</f>
        <v>1150.8571428571429</v>
      </c>
      <c r="X29" s="105">
        <f t="shared" si="17"/>
        <v>9578.5714285714294</v>
      </c>
      <c r="Y29" s="42">
        <f t="shared" si="9"/>
        <v>162.34866828087169</v>
      </c>
      <c r="Z29" s="80">
        <v>7320.06</v>
      </c>
      <c r="AA29" s="94">
        <f t="shared" si="15"/>
        <v>124.06881355932204</v>
      </c>
      <c r="AC29" s="1" t="s">
        <v>5</v>
      </c>
      <c r="AD29" s="43">
        <v>2024</v>
      </c>
      <c r="AE29" s="43">
        <v>66</v>
      </c>
      <c r="AF29" s="88">
        <v>5867</v>
      </c>
      <c r="AG29" s="94">
        <f t="shared" si="3"/>
        <v>8.8759455370650535</v>
      </c>
      <c r="AH29" s="109"/>
    </row>
    <row r="30" spans="1:35" ht="15.75" thickBot="1" x14ac:dyDescent="0.3">
      <c r="A30" s="59" t="s">
        <v>6</v>
      </c>
      <c r="B30" s="60">
        <v>2023</v>
      </c>
      <c r="C30" s="61">
        <v>59</v>
      </c>
      <c r="D30" s="60">
        <v>56167</v>
      </c>
      <c r="E30" s="60">
        <v>23997</v>
      </c>
      <c r="F30" s="60">
        <v>40478</v>
      </c>
      <c r="G30" s="55">
        <f>(D32-D30)/2</f>
        <v>1038.5</v>
      </c>
      <c r="H30" s="55">
        <f>(E32-E30)/2</f>
        <v>362</v>
      </c>
      <c r="I30" s="55">
        <f>(F32-F30)/2</f>
        <v>694.5</v>
      </c>
      <c r="J30" s="61">
        <f t="shared" si="0"/>
        <v>2095</v>
      </c>
      <c r="K30" s="61">
        <f t="shared" si="14"/>
        <v>35.508474576271183</v>
      </c>
      <c r="L30" s="60">
        <v>155.91</v>
      </c>
      <c r="M30" s="60">
        <v>223.65</v>
      </c>
      <c r="N30" s="60">
        <v>393.69</v>
      </c>
      <c r="O30" s="71">
        <f>(L32-L30)/2</f>
        <v>2.1200000000000045</v>
      </c>
      <c r="P30" s="71">
        <f t="shared" ref="P30:Q30" si="18">(M32-M30)/2</f>
        <v>4.1199999999999903</v>
      </c>
      <c r="Q30" s="71">
        <f t="shared" si="18"/>
        <v>5.2350000000000136</v>
      </c>
      <c r="R30" s="64">
        <f t="shared" si="6"/>
        <v>11.475000000000009</v>
      </c>
      <c r="S30" s="65">
        <f t="shared" si="7"/>
        <v>0.19449152542372897</v>
      </c>
      <c r="T30" s="67"/>
      <c r="U30" s="69">
        <f>U29</f>
        <v>8427.7142857142862</v>
      </c>
      <c r="V30" s="67"/>
      <c r="W30" s="69">
        <f>W29</f>
        <v>1150.8571428571429</v>
      </c>
      <c r="X30" s="105">
        <f t="shared" si="17"/>
        <v>9578.5714285714294</v>
      </c>
      <c r="Y30" s="42">
        <f t="shared" si="9"/>
        <v>162.34866828087169</v>
      </c>
      <c r="Z30" s="80">
        <v>6870.43</v>
      </c>
      <c r="AA30" s="94">
        <f t="shared" si="15"/>
        <v>116.44796610169492</v>
      </c>
      <c r="AC30" s="1" t="s">
        <v>6</v>
      </c>
      <c r="AD30" s="43">
        <v>2024</v>
      </c>
      <c r="AE30" s="43">
        <v>66</v>
      </c>
      <c r="AF30" s="88">
        <v>2057</v>
      </c>
      <c r="AG30" s="94">
        <f t="shared" si="3"/>
        <v>2.9618430525557957</v>
      </c>
      <c r="AH30" s="109"/>
    </row>
    <row r="31" spans="1:35" ht="15.75" thickBot="1" x14ac:dyDescent="0.3">
      <c r="A31" s="59" t="s">
        <v>7</v>
      </c>
      <c r="B31" s="60">
        <v>2023</v>
      </c>
      <c r="C31" s="61">
        <v>59</v>
      </c>
      <c r="D31" s="66"/>
      <c r="E31" s="66"/>
      <c r="F31" s="66"/>
      <c r="G31" s="55">
        <f>G30</f>
        <v>1038.5</v>
      </c>
      <c r="H31" s="55">
        <f>H30</f>
        <v>362</v>
      </c>
      <c r="I31" s="55">
        <f>I30</f>
        <v>694.5</v>
      </c>
      <c r="J31" s="61">
        <f t="shared" si="0"/>
        <v>2095</v>
      </c>
      <c r="K31" s="61">
        <f t="shared" si="14"/>
        <v>35.508474576271183</v>
      </c>
      <c r="L31" s="66"/>
      <c r="M31" s="66"/>
      <c r="N31" s="66"/>
      <c r="O31" s="71">
        <f>O30</f>
        <v>2.1200000000000045</v>
      </c>
      <c r="P31" s="71">
        <f t="shared" ref="P31:Q31" si="19">P30</f>
        <v>4.1199999999999903</v>
      </c>
      <c r="Q31" s="71">
        <f t="shared" si="19"/>
        <v>5.2350000000000136</v>
      </c>
      <c r="R31" s="64">
        <f t="shared" si="6"/>
        <v>11.475000000000009</v>
      </c>
      <c r="S31" s="65">
        <f t="shared" si="7"/>
        <v>0.19449152542372897</v>
      </c>
      <c r="T31" s="60">
        <v>420994</v>
      </c>
      <c r="U31" s="69">
        <f>U30</f>
        <v>8427.7142857142862</v>
      </c>
      <c r="V31" s="60">
        <v>55731</v>
      </c>
      <c r="W31" s="69">
        <f>W30</f>
        <v>1150.8571428571429</v>
      </c>
      <c r="X31" s="105">
        <f t="shared" si="17"/>
        <v>9578.5714285714294</v>
      </c>
      <c r="Y31" s="42">
        <f t="shared" si="9"/>
        <v>162.34866828087169</v>
      </c>
      <c r="Z31" s="80">
        <v>2715</v>
      </c>
      <c r="AA31" s="94">
        <f t="shared" si="15"/>
        <v>46.016949152542374</v>
      </c>
      <c r="AC31" s="1" t="s">
        <v>7</v>
      </c>
      <c r="AD31" s="43">
        <v>2024</v>
      </c>
      <c r="AE31" s="43">
        <v>66</v>
      </c>
      <c r="AF31" s="88">
        <v>4485</v>
      </c>
      <c r="AG31" s="94">
        <f t="shared" si="3"/>
        <v>6.4578833693304531</v>
      </c>
      <c r="AH31" s="109"/>
    </row>
    <row r="32" spans="1:35" ht="15.75" thickBot="1" x14ac:dyDescent="0.3">
      <c r="A32" s="59" t="s">
        <v>8</v>
      </c>
      <c r="B32" s="60">
        <v>2023</v>
      </c>
      <c r="C32" s="61">
        <v>59</v>
      </c>
      <c r="D32" s="70">
        <v>58244</v>
      </c>
      <c r="E32" s="70">
        <v>24721</v>
      </c>
      <c r="F32" s="70">
        <v>41867</v>
      </c>
      <c r="G32" s="62">
        <f t="shared" si="13"/>
        <v>1027</v>
      </c>
      <c r="H32" s="62">
        <f t="shared" si="4"/>
        <v>390</v>
      </c>
      <c r="I32" s="62">
        <f t="shared" si="5"/>
        <v>708</v>
      </c>
      <c r="J32" s="61">
        <f t="shared" si="0"/>
        <v>2125</v>
      </c>
      <c r="K32" s="61">
        <f t="shared" si="14"/>
        <v>36.016949152542374</v>
      </c>
      <c r="L32" s="60">
        <v>160.15</v>
      </c>
      <c r="M32" s="60">
        <v>231.89</v>
      </c>
      <c r="N32" s="60">
        <v>404.16</v>
      </c>
      <c r="O32" s="63">
        <f t="shared" si="16"/>
        <v>2.0099999999999909</v>
      </c>
      <c r="P32" s="63">
        <f t="shared" si="16"/>
        <v>3.8200000000000216</v>
      </c>
      <c r="Q32" s="63">
        <f t="shared" si="16"/>
        <v>6.4399999999999977</v>
      </c>
      <c r="R32" s="64">
        <f t="shared" si="6"/>
        <v>12.27000000000001</v>
      </c>
      <c r="S32" s="65">
        <f t="shared" si="7"/>
        <v>0.20796610169491542</v>
      </c>
      <c r="T32" s="60"/>
      <c r="U32" s="66">
        <f>U33</f>
        <v>5517.5</v>
      </c>
      <c r="V32" s="67"/>
      <c r="W32" s="60">
        <f>(V34-V31)/3</f>
        <v>1174.3333333333333</v>
      </c>
      <c r="X32" s="104">
        <f t="shared" si="17"/>
        <v>6691.833333333333</v>
      </c>
      <c r="Y32" s="42">
        <f t="shared" si="9"/>
        <v>113.42090395480226</v>
      </c>
      <c r="Z32" s="80">
        <v>0</v>
      </c>
      <c r="AA32" s="94">
        <f t="shared" si="15"/>
        <v>0</v>
      </c>
      <c r="AC32" s="1" t="s">
        <v>8</v>
      </c>
      <c r="AD32" s="43">
        <v>2024</v>
      </c>
      <c r="AE32" s="43">
        <v>66</v>
      </c>
      <c r="AF32" s="88">
        <v>5158</v>
      </c>
      <c r="AG32" s="94">
        <f t="shared" si="3"/>
        <v>7.2853107344632768</v>
      </c>
      <c r="AH32" s="109"/>
    </row>
    <row r="33" spans="1:34" ht="15.75" thickBot="1" x14ac:dyDescent="0.3">
      <c r="A33" s="59" t="s">
        <v>9</v>
      </c>
      <c r="B33" s="60">
        <v>2023</v>
      </c>
      <c r="C33" s="61">
        <v>59</v>
      </c>
      <c r="D33" s="70">
        <v>59271</v>
      </c>
      <c r="E33" s="70">
        <v>25111</v>
      </c>
      <c r="F33" s="70">
        <v>42575</v>
      </c>
      <c r="G33" s="62">
        <f t="shared" si="13"/>
        <v>1042</v>
      </c>
      <c r="H33" s="62">
        <f t="shared" si="4"/>
        <v>387</v>
      </c>
      <c r="I33" s="62">
        <f t="shared" si="5"/>
        <v>760</v>
      </c>
      <c r="J33" s="61">
        <f t="shared" si="0"/>
        <v>2189</v>
      </c>
      <c r="K33" s="61">
        <f t="shared" si="14"/>
        <v>37.101694915254235</v>
      </c>
      <c r="L33" s="60">
        <v>162.16</v>
      </c>
      <c r="M33" s="60">
        <v>235.71</v>
      </c>
      <c r="N33" s="60">
        <v>410.6</v>
      </c>
      <c r="O33" s="63">
        <f t="shared" si="16"/>
        <v>2.1100000000000136</v>
      </c>
      <c r="P33" s="63">
        <f t="shared" si="16"/>
        <v>4.289999999999992</v>
      </c>
      <c r="Q33" s="63">
        <f t="shared" si="16"/>
        <v>6.7999999999999545</v>
      </c>
      <c r="R33" s="95">
        <f t="shared" si="6"/>
        <v>13.19999999999996</v>
      </c>
      <c r="S33" s="65">
        <f t="shared" si="7"/>
        <v>0.22372881355932137</v>
      </c>
      <c r="T33" s="66">
        <f>2463+7741+831</f>
        <v>11035</v>
      </c>
      <c r="U33" s="66">
        <f>T33/2</f>
        <v>5517.5</v>
      </c>
      <c r="V33" s="67"/>
      <c r="W33" s="60">
        <f>W32</f>
        <v>1174.3333333333333</v>
      </c>
      <c r="X33" s="104">
        <f t="shared" si="17"/>
        <v>6691.833333333333</v>
      </c>
      <c r="Y33" s="42">
        <f t="shared" si="9"/>
        <v>113.42090395480226</v>
      </c>
      <c r="Z33" s="80">
        <v>7633</v>
      </c>
      <c r="AA33" s="94">
        <f t="shared" si="15"/>
        <v>129.37288135593221</v>
      </c>
      <c r="AC33" s="1" t="s">
        <v>9</v>
      </c>
      <c r="AD33" s="43">
        <v>2024</v>
      </c>
      <c r="AE33" s="43">
        <v>66</v>
      </c>
      <c r="AF33" s="88">
        <v>2317</v>
      </c>
      <c r="AG33" s="94">
        <f t="shared" si="3"/>
        <v>3.0486842105263157</v>
      </c>
      <c r="AH33" s="109"/>
    </row>
    <row r="34" spans="1:34" ht="15.75" thickBot="1" x14ac:dyDescent="0.3">
      <c r="A34" s="59" t="s">
        <v>10</v>
      </c>
      <c r="B34" s="60">
        <v>2023</v>
      </c>
      <c r="C34" s="61">
        <v>59</v>
      </c>
      <c r="D34" s="70">
        <v>60313</v>
      </c>
      <c r="E34" s="70">
        <v>25498</v>
      </c>
      <c r="F34" s="70">
        <v>43335</v>
      </c>
      <c r="G34" s="62">
        <f t="shared" si="13"/>
        <v>1066</v>
      </c>
      <c r="H34" s="62">
        <f t="shared" si="4"/>
        <v>425</v>
      </c>
      <c r="I34" s="62">
        <f t="shared" si="5"/>
        <v>723</v>
      </c>
      <c r="J34" s="61">
        <f t="shared" si="0"/>
        <v>2214</v>
      </c>
      <c r="K34" s="61">
        <f t="shared" si="14"/>
        <v>37.525423728813557</v>
      </c>
      <c r="L34" s="60">
        <v>164.27</v>
      </c>
      <c r="M34" s="60">
        <v>240</v>
      </c>
      <c r="N34" s="60">
        <v>417.4</v>
      </c>
      <c r="O34" s="63">
        <f t="shared" si="16"/>
        <v>1.5499999999999829</v>
      </c>
      <c r="P34" s="63">
        <f t="shared" si="16"/>
        <v>3.6200000000000045</v>
      </c>
      <c r="Q34" s="63">
        <f t="shared" si="16"/>
        <v>5.7000000000000455</v>
      </c>
      <c r="R34" s="95">
        <f t="shared" si="6"/>
        <v>10.870000000000033</v>
      </c>
      <c r="S34" s="65">
        <f t="shared" si="7"/>
        <v>0.18423728813559379</v>
      </c>
      <c r="T34" s="60"/>
      <c r="U34" s="69">
        <f>AVERAGE(U26:U33)</f>
        <v>6107.3928571428569</v>
      </c>
      <c r="V34" s="60">
        <v>59254</v>
      </c>
      <c r="W34" s="60">
        <f>W33</f>
        <v>1174.3333333333333</v>
      </c>
      <c r="X34" s="104">
        <f t="shared" si="17"/>
        <v>7281.7261904761899</v>
      </c>
      <c r="Y34" s="42">
        <f t="shared" si="9"/>
        <v>123.41908797417271</v>
      </c>
      <c r="Z34" s="80">
        <v>4186</v>
      </c>
      <c r="AA34" s="94">
        <f t="shared" si="15"/>
        <v>70.949152542372886</v>
      </c>
      <c r="AC34" s="1" t="s">
        <v>10</v>
      </c>
      <c r="AD34" s="43">
        <v>2024</v>
      </c>
      <c r="AE34" s="43">
        <v>66</v>
      </c>
      <c r="AF34" s="88">
        <v>3628</v>
      </c>
      <c r="AG34" s="94">
        <f t="shared" si="3"/>
        <v>5.0179806362378976</v>
      </c>
      <c r="AH34" s="109"/>
    </row>
    <row r="35" spans="1:34" ht="15.75" thickBot="1" x14ac:dyDescent="0.3">
      <c r="A35" s="59" t="s">
        <v>11</v>
      </c>
      <c r="B35" s="60">
        <v>2023</v>
      </c>
      <c r="C35" s="61">
        <v>59</v>
      </c>
      <c r="D35" s="87">
        <v>61379</v>
      </c>
      <c r="E35" s="87">
        <v>25923</v>
      </c>
      <c r="F35" s="87">
        <v>44058</v>
      </c>
      <c r="G35" s="62">
        <f t="shared" si="13"/>
        <v>1079</v>
      </c>
      <c r="H35" s="62">
        <f t="shared" si="4"/>
        <v>502</v>
      </c>
      <c r="I35" s="62">
        <f t="shared" si="5"/>
        <v>841</v>
      </c>
      <c r="J35" s="61">
        <f t="shared" si="0"/>
        <v>2422</v>
      </c>
      <c r="K35" s="61">
        <f t="shared" si="14"/>
        <v>41.050847457627121</v>
      </c>
      <c r="L35" s="87">
        <v>165.82</v>
      </c>
      <c r="M35" s="87">
        <v>243.62</v>
      </c>
      <c r="N35" s="87">
        <v>423.1</v>
      </c>
      <c r="O35" s="63">
        <f t="shared" si="16"/>
        <v>1.8100000000000023</v>
      </c>
      <c r="P35" s="63">
        <f t="shared" si="16"/>
        <v>4.3199999999999932</v>
      </c>
      <c r="Q35" s="63">
        <f t="shared" si="16"/>
        <v>8</v>
      </c>
      <c r="R35" s="95">
        <f t="shared" si="6"/>
        <v>14.129999999999995</v>
      </c>
      <c r="S35" s="65">
        <f t="shared" si="7"/>
        <v>0.23949152542372873</v>
      </c>
      <c r="T35" s="87"/>
      <c r="U35" s="87"/>
      <c r="V35" s="87"/>
      <c r="W35" s="87"/>
      <c r="X35" s="104">
        <f>X37</f>
        <v>7228.333333333333</v>
      </c>
      <c r="Y35" s="42">
        <f t="shared" si="9"/>
        <v>122.5141242937853</v>
      </c>
      <c r="Z35" s="80">
        <v>2309</v>
      </c>
      <c r="AA35" s="94">
        <f t="shared" si="15"/>
        <v>39.135593220338983</v>
      </c>
      <c r="AC35" s="1" t="s">
        <v>11</v>
      </c>
      <c r="AD35" s="43">
        <v>2024</v>
      </c>
      <c r="AE35" s="43">
        <v>66</v>
      </c>
      <c r="AF35" s="88">
        <v>7981</v>
      </c>
      <c r="AG35" s="94">
        <f t="shared" si="3"/>
        <v>9.4898929845422124</v>
      </c>
      <c r="AH35" s="109"/>
    </row>
    <row r="36" spans="1:34" ht="15.75" thickBot="1" x14ac:dyDescent="0.3">
      <c r="A36" s="59" t="s">
        <v>12</v>
      </c>
      <c r="B36" s="60">
        <v>2023</v>
      </c>
      <c r="C36" s="61">
        <v>59</v>
      </c>
      <c r="D36" s="87">
        <v>62458</v>
      </c>
      <c r="E36" s="87">
        <v>26425</v>
      </c>
      <c r="F36" s="87">
        <v>44899</v>
      </c>
      <c r="G36" s="62">
        <f t="shared" si="13"/>
        <v>1143</v>
      </c>
      <c r="H36" s="62">
        <f t="shared" si="4"/>
        <v>413</v>
      </c>
      <c r="I36" s="62">
        <f t="shared" si="5"/>
        <v>604</v>
      </c>
      <c r="J36" s="61">
        <f t="shared" si="0"/>
        <v>2160</v>
      </c>
      <c r="K36" s="61">
        <f t="shared" si="14"/>
        <v>36.610169491525426</v>
      </c>
      <c r="L36" s="87">
        <v>167.63</v>
      </c>
      <c r="M36" s="87">
        <v>247.94</v>
      </c>
      <c r="N36" s="87">
        <v>431.1</v>
      </c>
      <c r="O36" s="63">
        <f t="shared" si="16"/>
        <v>1.6599999999999966</v>
      </c>
      <c r="P36" s="63">
        <f t="shared" si="16"/>
        <v>3.8700000000000045</v>
      </c>
      <c r="Q36" s="63">
        <f t="shared" si="16"/>
        <v>4.3799999999999955</v>
      </c>
      <c r="R36" s="95">
        <f t="shared" si="6"/>
        <v>9.9099999999999966</v>
      </c>
      <c r="S36" s="65">
        <f t="shared" si="7"/>
        <v>0.16796610169491519</v>
      </c>
      <c r="T36" s="87"/>
      <c r="U36" s="87"/>
      <c r="V36" s="87"/>
      <c r="W36" s="87"/>
      <c r="X36" s="104">
        <f>X37</f>
        <v>7228.333333333333</v>
      </c>
      <c r="Y36" s="42">
        <f t="shared" si="9"/>
        <v>122.5141242937853</v>
      </c>
      <c r="Z36" s="80">
        <v>5236</v>
      </c>
      <c r="AA36" s="94">
        <f t="shared" si="15"/>
        <v>88.745762711864401</v>
      </c>
      <c r="AC36" s="1" t="s">
        <v>12</v>
      </c>
      <c r="AD36" s="43">
        <v>2024</v>
      </c>
      <c r="AE36" s="43">
        <v>66</v>
      </c>
      <c r="AF36" s="88">
        <v>11702</v>
      </c>
      <c r="AG36" s="94">
        <f t="shared" si="3"/>
        <v>19.374172185430464</v>
      </c>
      <c r="AH36" s="109"/>
    </row>
    <row r="37" spans="1:34" x14ac:dyDescent="0.25">
      <c r="A37" s="82" t="s">
        <v>13</v>
      </c>
      <c r="B37" s="83">
        <v>2023</v>
      </c>
      <c r="C37" s="84">
        <v>59</v>
      </c>
      <c r="D37" s="86">
        <v>63601</v>
      </c>
      <c r="E37" s="86">
        <v>26838</v>
      </c>
      <c r="F37" s="86">
        <v>45503</v>
      </c>
      <c r="G37" s="62">
        <f t="shared" si="13"/>
        <v>1255</v>
      </c>
      <c r="H37" s="62">
        <f t="shared" si="4"/>
        <v>514</v>
      </c>
      <c r="I37" s="62">
        <f t="shared" si="5"/>
        <v>781</v>
      </c>
      <c r="J37" s="84">
        <f t="shared" si="0"/>
        <v>2550</v>
      </c>
      <c r="K37" s="84">
        <f t="shared" si="14"/>
        <v>43.220338983050844</v>
      </c>
      <c r="L37" s="86">
        <v>169.29</v>
      </c>
      <c r="M37" s="86">
        <v>251.81</v>
      </c>
      <c r="N37" s="86">
        <v>435.48</v>
      </c>
      <c r="O37" s="99">
        <f t="shared" si="16"/>
        <v>1.5600000000000023</v>
      </c>
      <c r="P37" s="99">
        <f t="shared" si="16"/>
        <v>3.6200000000000045</v>
      </c>
      <c r="Q37" s="99">
        <f t="shared" si="16"/>
        <v>7.5199999999999818</v>
      </c>
      <c r="R37" s="100">
        <f t="shared" si="6"/>
        <v>12.699999999999989</v>
      </c>
      <c r="S37" s="101">
        <f t="shared" si="7"/>
        <v>0.21525423728813539</v>
      </c>
      <c r="T37" s="86"/>
      <c r="U37" s="86"/>
      <c r="V37" s="86"/>
      <c r="W37" s="86"/>
      <c r="X37" s="106">
        <f>21685/3</f>
        <v>7228.333333333333</v>
      </c>
      <c r="Y37" s="130">
        <f t="shared" si="9"/>
        <v>122.5141242937853</v>
      </c>
      <c r="Z37" s="85">
        <v>1867</v>
      </c>
      <c r="AA37" s="94">
        <f t="shared" si="15"/>
        <v>31.64406779661017</v>
      </c>
      <c r="AC37" s="1" t="s">
        <v>13</v>
      </c>
      <c r="AD37" s="43">
        <v>2024</v>
      </c>
      <c r="AE37" s="43">
        <v>66</v>
      </c>
      <c r="AF37" s="88">
        <v>3001</v>
      </c>
      <c r="AG37" s="94">
        <f t="shared" si="3"/>
        <v>3.8425096030729833</v>
      </c>
      <c r="AH37" s="109"/>
    </row>
    <row r="38" spans="1:34" x14ac:dyDescent="0.25">
      <c r="A38" s="1" t="s">
        <v>2</v>
      </c>
      <c r="B38" s="43">
        <v>2024</v>
      </c>
      <c r="C38" s="43">
        <v>66</v>
      </c>
      <c r="D38" s="88">
        <v>64856</v>
      </c>
      <c r="E38" s="88">
        <v>27352</v>
      </c>
      <c r="F38" s="88">
        <v>46284</v>
      </c>
      <c r="G38" s="92">
        <f t="shared" si="13"/>
        <v>977</v>
      </c>
      <c r="H38" s="92">
        <f t="shared" si="4"/>
        <v>401</v>
      </c>
      <c r="I38" s="92">
        <f t="shared" si="5"/>
        <v>593</v>
      </c>
      <c r="J38" s="93">
        <f t="shared" si="0"/>
        <v>1971</v>
      </c>
      <c r="K38" s="93">
        <f t="shared" si="14"/>
        <v>29.863636363636363</v>
      </c>
      <c r="L38" s="88">
        <v>170.85</v>
      </c>
      <c r="M38" s="88">
        <v>255.43</v>
      </c>
      <c r="N38" s="77">
        <v>443</v>
      </c>
      <c r="O38" s="111">
        <f t="shared" si="16"/>
        <v>2.3900000000000148</v>
      </c>
      <c r="P38" s="111">
        <f t="shared" si="16"/>
        <v>4.1999999999999886</v>
      </c>
      <c r="Q38" s="111">
        <f t="shared" si="16"/>
        <v>7.0299999999999727</v>
      </c>
      <c r="R38" s="112">
        <f t="shared" si="6"/>
        <v>13.619999999999976</v>
      </c>
      <c r="S38" s="113">
        <f t="shared" si="7"/>
        <v>0.206363636363636</v>
      </c>
      <c r="T38" s="98"/>
      <c r="U38" s="88"/>
      <c r="V38" s="88"/>
      <c r="W38" s="88"/>
      <c r="X38" s="180">
        <f>X40</f>
        <v>6655.333333333333</v>
      </c>
      <c r="Y38" s="149">
        <f t="shared" si="9"/>
        <v>100.83838383838383</v>
      </c>
      <c r="Z38" s="88">
        <v>6381</v>
      </c>
      <c r="AA38" s="94">
        <f t="shared" si="15"/>
        <v>96.681818181818187</v>
      </c>
    </row>
    <row r="39" spans="1:34" x14ac:dyDescent="0.25">
      <c r="A39" s="1" t="s">
        <v>3</v>
      </c>
      <c r="B39" s="43">
        <v>2024</v>
      </c>
      <c r="C39" s="43">
        <v>66</v>
      </c>
      <c r="D39" s="88">
        <v>65833</v>
      </c>
      <c r="E39" s="88">
        <v>27753</v>
      </c>
      <c r="F39" s="88">
        <v>46877</v>
      </c>
      <c r="G39" s="92">
        <f t="shared" si="13"/>
        <v>881</v>
      </c>
      <c r="H39" s="92">
        <f t="shared" si="4"/>
        <v>347</v>
      </c>
      <c r="I39" s="92">
        <f t="shared" si="5"/>
        <v>479</v>
      </c>
      <c r="J39" s="93">
        <f t="shared" si="0"/>
        <v>1707</v>
      </c>
      <c r="K39" s="93">
        <f t="shared" si="14"/>
        <v>25.863636363636363</v>
      </c>
      <c r="L39" s="88">
        <v>173.24</v>
      </c>
      <c r="M39" s="88">
        <v>259.63</v>
      </c>
      <c r="N39" s="77">
        <v>450.03</v>
      </c>
      <c r="O39" s="111">
        <f t="shared" ref="O39:Q46" si="20">L40-L39</f>
        <v>1.5199999999999818</v>
      </c>
      <c r="P39" s="111">
        <f t="shared" si="20"/>
        <v>2.4200000000000159</v>
      </c>
      <c r="Q39" s="111">
        <f t="shared" si="20"/>
        <v>5.5800000000000409</v>
      </c>
      <c r="R39" s="112">
        <f t="shared" si="6"/>
        <v>9.5200000000000387</v>
      </c>
      <c r="S39" s="113">
        <f t="shared" si="7"/>
        <v>0.14424242424242484</v>
      </c>
      <c r="T39" s="98"/>
      <c r="U39" s="88"/>
      <c r="V39" s="88"/>
      <c r="W39" s="88"/>
      <c r="X39" s="180">
        <f>X40</f>
        <v>6655.333333333333</v>
      </c>
      <c r="Y39" s="149">
        <f t="shared" si="9"/>
        <v>100.83838383838383</v>
      </c>
      <c r="Z39" s="88">
        <v>5197</v>
      </c>
      <c r="AA39" s="94">
        <f t="shared" si="15"/>
        <v>78.742424242424249</v>
      </c>
    </row>
    <row r="40" spans="1:34" x14ac:dyDescent="0.25">
      <c r="A40" s="1" t="s">
        <v>4</v>
      </c>
      <c r="B40" s="43">
        <v>2024</v>
      </c>
      <c r="C40" s="43">
        <v>66</v>
      </c>
      <c r="D40" s="88">
        <v>66714</v>
      </c>
      <c r="E40" s="88">
        <v>28100</v>
      </c>
      <c r="F40" s="88">
        <v>47356</v>
      </c>
      <c r="G40" s="92">
        <f t="shared" si="13"/>
        <v>1150</v>
      </c>
      <c r="H40" s="92">
        <f t="shared" si="4"/>
        <v>434</v>
      </c>
      <c r="I40" s="92">
        <f t="shared" si="5"/>
        <v>627</v>
      </c>
      <c r="J40" s="93">
        <f t="shared" si="0"/>
        <v>2211</v>
      </c>
      <c r="K40" s="93">
        <f t="shared" si="14"/>
        <v>33.5</v>
      </c>
      <c r="L40" s="88">
        <v>174.76</v>
      </c>
      <c r="M40" s="88">
        <v>262.05</v>
      </c>
      <c r="N40" s="77">
        <v>455.61</v>
      </c>
      <c r="O40" s="111">
        <f t="shared" si="20"/>
        <v>2.7000000000000171</v>
      </c>
      <c r="P40" s="111">
        <f t="shared" si="20"/>
        <v>4.9099999999999682</v>
      </c>
      <c r="Q40" s="111">
        <f t="shared" si="20"/>
        <v>6.6100000000000136</v>
      </c>
      <c r="R40" s="112">
        <f t="shared" si="6"/>
        <v>14.219999999999999</v>
      </c>
      <c r="S40" s="113">
        <f t="shared" si="7"/>
        <v>0.21545454545454543</v>
      </c>
      <c r="T40" s="98"/>
      <c r="U40" s="88"/>
      <c r="V40" s="88"/>
      <c r="W40" s="88"/>
      <c r="X40" s="180">
        <f>19966/3</f>
        <v>6655.333333333333</v>
      </c>
      <c r="Y40" s="149">
        <f t="shared" si="9"/>
        <v>100.83838383838383</v>
      </c>
      <c r="Z40" s="88">
        <v>2250</v>
      </c>
      <c r="AA40" s="94">
        <f t="shared" si="15"/>
        <v>34.090909090909093</v>
      </c>
    </row>
    <row r="41" spans="1:34" x14ac:dyDescent="0.25">
      <c r="A41" s="1" t="s">
        <v>5</v>
      </c>
      <c r="B41" s="43">
        <v>2024</v>
      </c>
      <c r="C41" s="43">
        <v>66</v>
      </c>
      <c r="D41" s="88">
        <v>67864</v>
      </c>
      <c r="E41" s="88">
        <v>28534</v>
      </c>
      <c r="F41" s="88">
        <v>47983</v>
      </c>
      <c r="G41" s="92">
        <f t="shared" si="13"/>
        <v>986</v>
      </c>
      <c r="H41" s="92">
        <f t="shared" si="4"/>
        <v>338</v>
      </c>
      <c r="I41" s="92">
        <f t="shared" si="5"/>
        <v>509</v>
      </c>
      <c r="J41" s="93">
        <f t="shared" si="0"/>
        <v>1833</v>
      </c>
      <c r="K41" s="93">
        <f t="shared" si="14"/>
        <v>27.772727272727273</v>
      </c>
      <c r="L41" s="88">
        <v>177.46</v>
      </c>
      <c r="M41" s="88">
        <v>266.95999999999998</v>
      </c>
      <c r="N41" s="77">
        <v>462.22</v>
      </c>
      <c r="O41" s="111">
        <f t="shared" si="20"/>
        <v>2.0300000000000011</v>
      </c>
      <c r="P41" s="111">
        <f t="shared" si="20"/>
        <v>3.0300000000000296</v>
      </c>
      <c r="Q41" s="111">
        <f t="shared" si="20"/>
        <v>7.3799999999999955</v>
      </c>
      <c r="R41" s="112">
        <f t="shared" si="6"/>
        <v>12.440000000000026</v>
      </c>
      <c r="S41" s="113">
        <f t="shared" si="7"/>
        <v>0.18848484848484889</v>
      </c>
      <c r="T41" s="98"/>
      <c r="U41" s="88"/>
      <c r="V41" s="88"/>
      <c r="W41" s="88"/>
      <c r="X41" s="180">
        <f>X43</f>
        <v>6861</v>
      </c>
      <c r="Y41" s="149">
        <f t="shared" si="9"/>
        <v>103.95454545454545</v>
      </c>
      <c r="Z41" s="88">
        <v>5867</v>
      </c>
      <c r="AA41" s="94">
        <f t="shared" si="15"/>
        <v>88.893939393939391</v>
      </c>
    </row>
    <row r="42" spans="1:34" x14ac:dyDescent="0.25">
      <c r="A42" s="1" t="s">
        <v>6</v>
      </c>
      <c r="B42" s="43">
        <v>2024</v>
      </c>
      <c r="C42" s="43">
        <v>66</v>
      </c>
      <c r="D42" s="88">
        <v>68850</v>
      </c>
      <c r="E42" s="88">
        <v>28872</v>
      </c>
      <c r="F42" s="88">
        <v>48492</v>
      </c>
      <c r="G42" s="92">
        <f t="shared" si="13"/>
        <v>1053</v>
      </c>
      <c r="H42" s="92">
        <f t="shared" si="4"/>
        <v>377</v>
      </c>
      <c r="I42" s="92">
        <f t="shared" si="5"/>
        <v>566</v>
      </c>
      <c r="J42" s="93">
        <f t="shared" si="0"/>
        <v>1996</v>
      </c>
      <c r="K42" s="93">
        <f t="shared" si="14"/>
        <v>30.242424242424242</v>
      </c>
      <c r="L42" s="88">
        <v>179.49</v>
      </c>
      <c r="M42" s="88">
        <v>269.99</v>
      </c>
      <c r="N42" s="77">
        <v>469.6</v>
      </c>
      <c r="O42" s="111">
        <f t="shared" si="20"/>
        <v>2.7199999999999989</v>
      </c>
      <c r="P42" s="111">
        <f t="shared" si="20"/>
        <v>4.9900000000000091</v>
      </c>
      <c r="Q42" s="111">
        <f t="shared" si="20"/>
        <v>6.2199999999999704</v>
      </c>
      <c r="R42" s="112">
        <f t="shared" si="6"/>
        <v>13.929999999999978</v>
      </c>
      <c r="S42" s="113">
        <f t="shared" si="7"/>
        <v>0.21106060606060573</v>
      </c>
      <c r="T42" s="98"/>
      <c r="U42" s="88"/>
      <c r="V42" s="88"/>
      <c r="W42" s="88"/>
      <c r="X42" s="180">
        <f>X43</f>
        <v>6861</v>
      </c>
      <c r="Y42" s="149">
        <f t="shared" si="9"/>
        <v>103.95454545454545</v>
      </c>
      <c r="Z42" s="88">
        <v>2057</v>
      </c>
      <c r="AA42" s="94">
        <f t="shared" si="15"/>
        <v>31.166666666666668</v>
      </c>
    </row>
    <row r="43" spans="1:34" x14ac:dyDescent="0.25">
      <c r="A43" s="1" t="s">
        <v>7</v>
      </c>
      <c r="B43" s="43">
        <v>2024</v>
      </c>
      <c r="C43" s="43">
        <v>66</v>
      </c>
      <c r="D43" s="88">
        <v>69903</v>
      </c>
      <c r="E43" s="88">
        <v>29249</v>
      </c>
      <c r="F43" s="88">
        <v>49058</v>
      </c>
      <c r="G43" s="92">
        <f t="shared" si="13"/>
        <v>842</v>
      </c>
      <c r="H43" s="92">
        <f t="shared" si="4"/>
        <v>318</v>
      </c>
      <c r="I43" s="92">
        <f t="shared" si="5"/>
        <v>422</v>
      </c>
      <c r="J43" s="93">
        <f t="shared" si="0"/>
        <v>1582</v>
      </c>
      <c r="K43" s="93">
        <f t="shared" si="14"/>
        <v>23.969696969696969</v>
      </c>
      <c r="L43" s="88">
        <v>182.21</v>
      </c>
      <c r="M43" s="88">
        <v>274.98</v>
      </c>
      <c r="N43" s="77">
        <v>475.82</v>
      </c>
      <c r="O43" s="111">
        <f t="shared" si="20"/>
        <v>1.3400000000000034</v>
      </c>
      <c r="P43" s="111">
        <f t="shared" si="20"/>
        <v>2.6399999999999864</v>
      </c>
      <c r="Q43" s="111">
        <f t="shared" si="20"/>
        <v>4.8899999999999864</v>
      </c>
      <c r="R43" s="112">
        <f t="shared" si="6"/>
        <v>8.8699999999999761</v>
      </c>
      <c r="S43" s="113">
        <f t="shared" si="7"/>
        <v>0.13439393939393904</v>
      </c>
      <c r="T43" s="98"/>
      <c r="U43" s="88"/>
      <c r="V43" s="88"/>
      <c r="W43" s="88"/>
      <c r="X43" s="180">
        <f>20583/3</f>
        <v>6861</v>
      </c>
      <c r="Y43" s="149">
        <f t="shared" si="9"/>
        <v>103.95454545454545</v>
      </c>
      <c r="Z43" s="88">
        <v>4485</v>
      </c>
      <c r="AA43" s="94">
        <f t="shared" si="15"/>
        <v>67.954545454545453</v>
      </c>
    </row>
    <row r="44" spans="1:34" x14ac:dyDescent="0.25">
      <c r="A44" s="1" t="s">
        <v>8</v>
      </c>
      <c r="B44" s="43">
        <v>2024</v>
      </c>
      <c r="C44" s="43">
        <v>66</v>
      </c>
      <c r="D44" s="88">
        <v>70745</v>
      </c>
      <c r="E44" s="88">
        <v>29567</v>
      </c>
      <c r="F44" s="88">
        <v>49480</v>
      </c>
      <c r="G44" s="92">
        <f t="shared" si="13"/>
        <v>1267</v>
      </c>
      <c r="H44" s="92">
        <f t="shared" si="4"/>
        <v>422</v>
      </c>
      <c r="I44" s="92">
        <f t="shared" si="5"/>
        <v>619</v>
      </c>
      <c r="J44" s="93">
        <f t="shared" si="0"/>
        <v>2308</v>
      </c>
      <c r="K44" s="93">
        <f t="shared" si="14"/>
        <v>34.969696969696969</v>
      </c>
      <c r="L44" s="88">
        <v>183.55</v>
      </c>
      <c r="M44" s="88">
        <v>277.62</v>
      </c>
      <c r="N44" s="77">
        <v>480.71</v>
      </c>
      <c r="O44" s="111">
        <f t="shared" si="20"/>
        <v>2.7299999999999898</v>
      </c>
      <c r="P44" s="111">
        <f t="shared" si="20"/>
        <v>3.9699999999999704</v>
      </c>
      <c r="Q44" s="111">
        <f t="shared" si="20"/>
        <v>6.4500000000000455</v>
      </c>
      <c r="R44" s="112">
        <f t="shared" si="6"/>
        <v>13.150000000000006</v>
      </c>
      <c r="S44" s="113">
        <f t="shared" si="7"/>
        <v>0.19924242424242433</v>
      </c>
      <c r="T44" s="98"/>
      <c r="U44" s="88"/>
      <c r="V44" s="88"/>
      <c r="W44" s="88"/>
      <c r="X44" s="180">
        <f>X46</f>
        <v>6984.333333333333</v>
      </c>
      <c r="Y44" s="149">
        <f t="shared" si="9"/>
        <v>105.82323232323232</v>
      </c>
      <c r="Z44" s="88">
        <v>5158</v>
      </c>
      <c r="AA44" s="94">
        <f t="shared" si="15"/>
        <v>78.151515151515156</v>
      </c>
    </row>
    <row r="45" spans="1:34" x14ac:dyDescent="0.25">
      <c r="A45" s="1" t="s">
        <v>9</v>
      </c>
      <c r="B45" s="43">
        <v>2024</v>
      </c>
      <c r="C45" s="43">
        <v>66</v>
      </c>
      <c r="D45" s="88">
        <v>72012</v>
      </c>
      <c r="E45" s="88">
        <v>29989</v>
      </c>
      <c r="F45" s="88">
        <v>50099</v>
      </c>
      <c r="G45" s="92">
        <f t="shared" si="13"/>
        <v>902</v>
      </c>
      <c r="H45" s="92">
        <f t="shared" si="4"/>
        <v>348</v>
      </c>
      <c r="I45" s="92">
        <f t="shared" si="5"/>
        <v>524</v>
      </c>
      <c r="J45" s="93">
        <f t="shared" si="0"/>
        <v>1774</v>
      </c>
      <c r="K45" s="93">
        <f t="shared" si="14"/>
        <v>26.878787878787879</v>
      </c>
      <c r="L45" s="88">
        <v>186.28</v>
      </c>
      <c r="M45" s="88">
        <v>281.58999999999997</v>
      </c>
      <c r="N45" s="77">
        <v>487.16</v>
      </c>
      <c r="O45" s="111">
        <f t="shared" si="20"/>
        <v>1.7199999999999989</v>
      </c>
      <c r="P45" s="111">
        <f t="shared" si="20"/>
        <v>3.0800000000000409</v>
      </c>
      <c r="Q45" s="111">
        <f t="shared" si="20"/>
        <v>5.25</v>
      </c>
      <c r="R45" s="112">
        <f t="shared" si="6"/>
        <v>10.05000000000004</v>
      </c>
      <c r="S45" s="113">
        <f t="shared" si="7"/>
        <v>0.15227272727272786</v>
      </c>
      <c r="T45" s="98"/>
      <c r="U45" s="88"/>
      <c r="V45" s="88"/>
      <c r="W45" s="88"/>
      <c r="X45" s="180">
        <f>X46</f>
        <v>6984.333333333333</v>
      </c>
      <c r="Y45" s="149">
        <f t="shared" si="9"/>
        <v>105.82323232323232</v>
      </c>
      <c r="Z45" s="88">
        <v>2317</v>
      </c>
      <c r="AA45" s="94">
        <f t="shared" si="15"/>
        <v>35.106060606060609</v>
      </c>
    </row>
    <row r="46" spans="1:34" x14ac:dyDescent="0.25">
      <c r="A46" s="1" t="s">
        <v>10</v>
      </c>
      <c r="B46" s="43">
        <v>2024</v>
      </c>
      <c r="C46" s="43">
        <v>66</v>
      </c>
      <c r="D46" s="88">
        <v>72914</v>
      </c>
      <c r="E46" s="88">
        <v>30337</v>
      </c>
      <c r="F46" s="88">
        <v>50623</v>
      </c>
      <c r="G46" s="92">
        <f t="shared" si="13"/>
        <v>994</v>
      </c>
      <c r="H46" s="92">
        <f t="shared" si="4"/>
        <v>471</v>
      </c>
      <c r="I46" s="92">
        <f t="shared" si="5"/>
        <v>635</v>
      </c>
      <c r="J46" s="93">
        <f t="shared" si="0"/>
        <v>2100</v>
      </c>
      <c r="K46" s="93">
        <f t="shared" si="14"/>
        <v>31.818181818181817</v>
      </c>
      <c r="L46" s="88">
        <v>188</v>
      </c>
      <c r="M46" s="88">
        <v>284.67</v>
      </c>
      <c r="N46" s="77">
        <v>492.41</v>
      </c>
      <c r="O46" s="111">
        <f t="shared" si="20"/>
        <v>1.710000000000008</v>
      </c>
      <c r="P46" s="111">
        <f t="shared" si="20"/>
        <v>4.1499999999999773</v>
      </c>
      <c r="Q46" s="111">
        <f t="shared" si="20"/>
        <v>6.0399999999999636</v>
      </c>
      <c r="R46" s="112">
        <f t="shared" si="6"/>
        <v>11.899999999999949</v>
      </c>
      <c r="S46" s="113">
        <f t="shared" si="7"/>
        <v>0.18030303030302952</v>
      </c>
      <c r="T46" s="98"/>
      <c r="U46" s="88"/>
      <c r="V46" s="88"/>
      <c r="W46" s="88"/>
      <c r="X46" s="180">
        <f>20953/3</f>
        <v>6984.333333333333</v>
      </c>
      <c r="Y46" s="149">
        <f t="shared" si="9"/>
        <v>105.82323232323232</v>
      </c>
      <c r="Z46" s="88">
        <v>3628</v>
      </c>
      <c r="AA46" s="94">
        <f t="shared" si="15"/>
        <v>54.969696969696969</v>
      </c>
    </row>
    <row r="47" spans="1:34" x14ac:dyDescent="0.25">
      <c r="A47" s="1" t="s">
        <v>11</v>
      </c>
      <c r="B47" s="43">
        <v>2024</v>
      </c>
      <c r="C47" s="43">
        <v>66</v>
      </c>
      <c r="D47" s="88">
        <v>73908</v>
      </c>
      <c r="E47" s="88">
        <v>30808</v>
      </c>
      <c r="F47" s="88">
        <v>51258</v>
      </c>
      <c r="G47" s="55">
        <f>AVERAGE(G38:G46)</f>
        <v>1005.7777777777778</v>
      </c>
      <c r="H47" s="55">
        <f t="shared" ref="H47:I47" si="21">AVERAGE(H38:H46)</f>
        <v>384</v>
      </c>
      <c r="I47" s="55">
        <f t="shared" si="21"/>
        <v>552.66666666666663</v>
      </c>
      <c r="J47" s="91">
        <f t="shared" si="0"/>
        <v>1942.4444444444443</v>
      </c>
      <c r="K47" s="91">
        <f t="shared" si="14"/>
        <v>29.430976430976429</v>
      </c>
      <c r="L47" s="88">
        <v>189.71</v>
      </c>
      <c r="M47" s="88">
        <v>288.82</v>
      </c>
      <c r="N47" s="88">
        <v>498.45</v>
      </c>
      <c r="O47" s="114">
        <f>AVERAGE(O38:O46)</f>
        <v>2.0955555555555572</v>
      </c>
      <c r="P47" s="114">
        <f t="shared" ref="P47:Q47" si="22">AVERAGE(P38:P46)</f>
        <v>3.7099999999999986</v>
      </c>
      <c r="Q47" s="114">
        <f t="shared" si="22"/>
        <v>6.1611111111111097</v>
      </c>
      <c r="R47" s="102">
        <f t="shared" si="6"/>
        <v>11.966666666666665</v>
      </c>
      <c r="S47" s="102">
        <f t="shared" si="7"/>
        <v>0.18131313131313129</v>
      </c>
      <c r="T47" s="88"/>
      <c r="U47" s="88"/>
      <c r="V47" s="88"/>
      <c r="W47" s="88"/>
      <c r="X47" s="181">
        <f>AVERAGE(X38:X46)</f>
        <v>6833.5555555555566</v>
      </c>
      <c r="Y47" s="149">
        <f t="shared" si="9"/>
        <v>103.53872053872055</v>
      </c>
      <c r="Z47" s="88">
        <v>7981</v>
      </c>
      <c r="AA47" s="94">
        <f t="shared" si="15"/>
        <v>120.92424242424242</v>
      </c>
    </row>
    <row r="48" spans="1:34" x14ac:dyDescent="0.25">
      <c r="A48" s="1" t="s">
        <v>12</v>
      </c>
      <c r="B48" s="43">
        <v>2024</v>
      </c>
      <c r="C48" s="43">
        <v>66</v>
      </c>
      <c r="D48" s="88"/>
      <c r="E48" s="88"/>
      <c r="F48" s="88"/>
      <c r="G48" s="55">
        <f>AVERAGE(G38:G47)</f>
        <v>1005.7777777777777</v>
      </c>
      <c r="H48" s="55">
        <f t="shared" ref="H48:I48" si="23">AVERAGE(H38:H47)</f>
        <v>384</v>
      </c>
      <c r="I48" s="55">
        <f t="shared" si="23"/>
        <v>552.66666666666674</v>
      </c>
      <c r="J48" s="91">
        <f t="shared" si="0"/>
        <v>1942.4444444444446</v>
      </c>
      <c r="K48" s="91">
        <f t="shared" si="14"/>
        <v>29.430976430976433</v>
      </c>
      <c r="L48" s="88"/>
      <c r="M48" s="88"/>
      <c r="N48" s="88"/>
      <c r="O48" s="90">
        <f>AVERAGE(O38:O47)</f>
        <v>2.0955555555555572</v>
      </c>
      <c r="P48" s="90">
        <f t="shared" ref="P48:Q48" si="24">AVERAGE(P38:P47)</f>
        <v>3.7099999999999986</v>
      </c>
      <c r="Q48" s="90">
        <f t="shared" si="24"/>
        <v>6.1611111111111097</v>
      </c>
      <c r="R48" s="96">
        <f t="shared" si="6"/>
        <v>11.966666666666665</v>
      </c>
      <c r="S48" s="97">
        <f t="shared" si="7"/>
        <v>0.18131313131313129</v>
      </c>
      <c r="T48" s="88"/>
      <c r="U48" s="88"/>
      <c r="V48" s="88"/>
      <c r="W48" s="88"/>
      <c r="X48" s="181">
        <f>X47</f>
        <v>6833.5555555555566</v>
      </c>
      <c r="Y48" s="149">
        <f t="shared" si="9"/>
        <v>103.53872053872055</v>
      </c>
      <c r="Z48" s="88">
        <v>11702</v>
      </c>
      <c r="AA48" s="94">
        <f t="shared" si="15"/>
        <v>177.30303030303031</v>
      </c>
    </row>
    <row r="49" spans="1:27" x14ac:dyDescent="0.25">
      <c r="A49" s="1" t="s">
        <v>13</v>
      </c>
      <c r="B49" s="43">
        <v>2024</v>
      </c>
      <c r="C49" s="43">
        <v>66</v>
      </c>
      <c r="D49" s="88"/>
      <c r="E49" s="88"/>
      <c r="F49" s="88"/>
      <c r="G49" s="55">
        <f>AVERAGE(G38:G48)</f>
        <v>1005.7777777777777</v>
      </c>
      <c r="H49" s="55">
        <f t="shared" ref="H49:I49" si="25">AVERAGE(H38:H48)</f>
        <v>384</v>
      </c>
      <c r="I49" s="55">
        <f t="shared" si="25"/>
        <v>552.66666666666674</v>
      </c>
      <c r="J49" s="91">
        <f t="shared" si="0"/>
        <v>1942.4444444444446</v>
      </c>
      <c r="K49" s="91">
        <f t="shared" si="14"/>
        <v>29.430976430976433</v>
      </c>
      <c r="L49" s="88"/>
      <c r="M49" s="88"/>
      <c r="N49" s="88"/>
      <c r="O49" s="90">
        <f>AVERAGE(O38:O48)</f>
        <v>2.0955555555555567</v>
      </c>
      <c r="P49" s="90">
        <f t="shared" ref="P49:Q49" si="26">AVERAGE(P38:P48)</f>
        <v>3.7099999999999991</v>
      </c>
      <c r="Q49" s="90">
        <f t="shared" si="26"/>
        <v>6.1611111111111105</v>
      </c>
      <c r="R49" s="96">
        <f t="shared" si="6"/>
        <v>11.966666666666665</v>
      </c>
      <c r="S49" s="97">
        <f t="shared" si="7"/>
        <v>0.18131313131313129</v>
      </c>
      <c r="T49" s="88"/>
      <c r="U49" s="88"/>
      <c r="V49" s="88"/>
      <c r="W49" s="88"/>
      <c r="X49" s="181">
        <f>X48</f>
        <v>6833.5555555555566</v>
      </c>
      <c r="Y49" s="149">
        <f t="shared" si="9"/>
        <v>103.53872053872055</v>
      </c>
      <c r="Z49" s="88">
        <v>3001</v>
      </c>
      <c r="AA49" s="94">
        <f t="shared" si="15"/>
        <v>45.469696969696969</v>
      </c>
    </row>
    <row r="50" spans="1:27" x14ac:dyDescent="0.25"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workbookViewId="0">
      <selection activeCell="S8" sqref="S8"/>
    </sheetView>
  </sheetViews>
  <sheetFormatPr defaultRowHeight="15" x14ac:dyDescent="0.25"/>
  <cols>
    <col min="1" max="1" width="24.5703125" bestFit="1" customWidth="1"/>
    <col min="2" max="2" width="15.5703125" bestFit="1" customWidth="1"/>
    <col min="3" max="4" width="5.85546875" customWidth="1"/>
    <col min="5" max="5" width="6.140625" customWidth="1"/>
    <col min="6" max="6" width="10.7109375" bestFit="1" customWidth="1"/>
    <col min="17" max="17" width="27.5703125" customWidth="1"/>
    <col min="18" max="18" width="9.28515625" bestFit="1" customWidth="1"/>
  </cols>
  <sheetData>
    <row r="1" spans="1:19" x14ac:dyDescent="0.25">
      <c r="B1" s="107" t="s">
        <v>41</v>
      </c>
    </row>
    <row r="2" spans="1:19" x14ac:dyDescent="0.25">
      <c r="B2">
        <v>2021</v>
      </c>
      <c r="C2">
        <v>2022</v>
      </c>
      <c r="D2">
        <v>2023</v>
      </c>
      <c r="E2">
        <v>2024</v>
      </c>
    </row>
    <row r="3" spans="1:19" x14ac:dyDescent="0.25">
      <c r="A3" t="s">
        <v>51</v>
      </c>
      <c r="B3" s="110">
        <v>104603.33333333333</v>
      </c>
      <c r="C3" s="110">
        <v>89176</v>
      </c>
      <c r="D3" s="110">
        <v>84131.10714285713</v>
      </c>
      <c r="E3" s="110">
        <v>82002.666666666686</v>
      </c>
    </row>
    <row r="4" spans="1:19" x14ac:dyDescent="0.25">
      <c r="Q4" s="185" t="s">
        <v>55</v>
      </c>
      <c r="R4" s="185"/>
    </row>
    <row r="5" spans="1:19" x14ac:dyDescent="0.25">
      <c r="Q5" s="43" t="s">
        <v>56</v>
      </c>
      <c r="R5" s="182">
        <f>1-(82003/84131)</f>
        <v>2.5293886914454888E-2</v>
      </c>
      <c r="S5" t="s">
        <v>60</v>
      </c>
    </row>
    <row r="6" spans="1:19" x14ac:dyDescent="0.25">
      <c r="Q6" s="43" t="s">
        <v>57</v>
      </c>
      <c r="R6" s="182">
        <f>1-(GETPIVOTDATA("Verbrauch total",$A$20,"Jahr ",2024)/GETPIVOTDATA("Verbrauch total",$A$20,"Jahr ",2023))</f>
        <v>2.529909029458377E-2</v>
      </c>
      <c r="S6" t="s">
        <v>60</v>
      </c>
    </row>
    <row r="7" spans="1:19" x14ac:dyDescent="0.25">
      <c r="Q7" s="43" t="s">
        <v>58</v>
      </c>
      <c r="R7" s="182">
        <f>1-(GETPIVOTDATA("Verbrauch/Kopf",$A$39,"Jahr ",2024)/GETPIVOTDATA("Verbrauch/Kopf",$A$39,"Jahr ",2023))</f>
        <v>0.12867645950576434</v>
      </c>
      <c r="S7" t="s">
        <v>60</v>
      </c>
    </row>
    <row r="20" spans="1:5" x14ac:dyDescent="0.25">
      <c r="B20" s="107" t="s">
        <v>41</v>
      </c>
    </row>
    <row r="21" spans="1:5" x14ac:dyDescent="0.25">
      <c r="B21">
        <v>2021</v>
      </c>
      <c r="C21">
        <v>2022</v>
      </c>
      <c r="D21">
        <v>2023</v>
      </c>
      <c r="E21">
        <v>2024</v>
      </c>
    </row>
    <row r="22" spans="1:5" x14ac:dyDescent="0.25">
      <c r="A22" t="s">
        <v>52</v>
      </c>
      <c r="B22" s="110">
        <v>8716.9444444444434</v>
      </c>
      <c r="C22" s="110">
        <v>7431.333333333333</v>
      </c>
      <c r="D22" s="110">
        <v>7010.9255952380945</v>
      </c>
      <c r="E22" s="110">
        <v>6833.5555555555575</v>
      </c>
    </row>
    <row r="39" spans="1:5" x14ac:dyDescent="0.25">
      <c r="B39" s="107" t="s">
        <v>41</v>
      </c>
    </row>
    <row r="40" spans="1:5" x14ac:dyDescent="0.25">
      <c r="B40">
        <v>2021</v>
      </c>
      <c r="C40">
        <v>2022</v>
      </c>
      <c r="D40">
        <v>2023</v>
      </c>
      <c r="E40">
        <v>2024</v>
      </c>
    </row>
    <row r="41" spans="1:5" x14ac:dyDescent="0.25">
      <c r="A41" t="s">
        <v>54</v>
      </c>
      <c r="B41" s="103">
        <v>169.59206273512427</v>
      </c>
      <c r="C41" s="103">
        <v>135.11515151515155</v>
      </c>
      <c r="D41" s="103">
        <v>118.82924737691685</v>
      </c>
      <c r="E41" s="103">
        <v>103.53872053872055</v>
      </c>
    </row>
  </sheetData>
  <mergeCells count="1">
    <mergeCell ref="Q4:R4"/>
  </mergeCells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R42"/>
  <sheetViews>
    <sheetView topLeftCell="B1" workbookViewId="0">
      <selection activeCell="R8" sqref="R8"/>
    </sheetView>
  </sheetViews>
  <sheetFormatPr defaultRowHeight="15" x14ac:dyDescent="0.25"/>
  <cols>
    <col min="1" max="1" width="38.85546875" bestFit="1" customWidth="1"/>
    <col min="2" max="2" width="15.5703125" bestFit="1" customWidth="1"/>
    <col min="3" max="3" width="8" customWidth="1"/>
    <col min="4" max="4" width="9.140625" customWidth="1"/>
    <col min="5" max="5" width="7.5703125" customWidth="1"/>
    <col min="6" max="6" width="10.7109375" bestFit="1" customWidth="1"/>
    <col min="16" max="16" width="11.7109375" customWidth="1"/>
    <col min="17" max="17" width="12.140625" customWidth="1"/>
  </cols>
  <sheetData>
    <row r="4" spans="1:18" x14ac:dyDescent="0.25">
      <c r="B4" s="107" t="s">
        <v>41</v>
      </c>
      <c r="P4" s="185" t="s">
        <v>55</v>
      </c>
      <c r="Q4" s="185"/>
    </row>
    <row r="5" spans="1:18" x14ac:dyDescent="0.25">
      <c r="B5">
        <v>2021</v>
      </c>
      <c r="C5">
        <v>2022</v>
      </c>
      <c r="D5">
        <v>2023</v>
      </c>
      <c r="E5">
        <v>2024</v>
      </c>
      <c r="P5" s="43" t="s">
        <v>56</v>
      </c>
      <c r="Q5" s="182">
        <f>1-(GETPIVOTDATA("Strom Gesamt 
(kWh)",$A$4,"Jahr ",2024)/GETPIVOTDATA("Strom Gesamt 
(kWh)",$A$4,"Jahr ",2023))</f>
        <v>0.10182901767365382</v>
      </c>
      <c r="R5" t="s">
        <v>60</v>
      </c>
    </row>
    <row r="6" spans="1:18" x14ac:dyDescent="0.25">
      <c r="A6" t="s">
        <v>42</v>
      </c>
      <c r="B6" s="110">
        <v>23580</v>
      </c>
      <c r="C6" s="110">
        <v>24503</v>
      </c>
      <c r="D6" s="110">
        <v>25952</v>
      </c>
      <c r="E6" s="110">
        <v>23309.333333333336</v>
      </c>
      <c r="P6" s="43" t="s">
        <v>57</v>
      </c>
      <c r="Q6" s="182">
        <f>1-(GETPIVOTDATA("Strom Gesamt 
(kWh)",$A$22,"Jahr ",2024)/GETPIVOTDATA("Strom Gesamt 
(kWh)",$A$22,"Jahr ",2023))</f>
        <v>0.10182901767365382</v>
      </c>
      <c r="R6" t="s">
        <v>60</v>
      </c>
    </row>
    <row r="7" spans="1:18" x14ac:dyDescent="0.25">
      <c r="P7" s="43" t="s">
        <v>58</v>
      </c>
      <c r="Q7" s="182">
        <f>1-(GETPIVOTDATA("Stromverbrauch pro Kopf/Monat",$A$40,"Jahr ",2024)/GETPIVOTDATA("Stromverbrauch pro Kopf/Monat",$A$40,"Jahr ",2023))</f>
        <v>0.19708957640523594</v>
      </c>
      <c r="R7" t="s">
        <v>59</v>
      </c>
    </row>
    <row r="22" spans="1:5" x14ac:dyDescent="0.25">
      <c r="B22" s="107" t="s">
        <v>41</v>
      </c>
    </row>
    <row r="23" spans="1:5" x14ac:dyDescent="0.25">
      <c r="B23">
        <v>2021</v>
      </c>
      <c r="C23">
        <v>2022</v>
      </c>
      <c r="D23">
        <v>2023</v>
      </c>
      <c r="E23">
        <v>2024</v>
      </c>
    </row>
    <row r="24" spans="1:5" x14ac:dyDescent="0.25">
      <c r="A24" t="s">
        <v>43</v>
      </c>
      <c r="B24" s="89">
        <v>1965</v>
      </c>
      <c r="C24" s="89">
        <v>2041.9166666666667</v>
      </c>
      <c r="D24" s="89">
        <v>2162.6666666666665</v>
      </c>
      <c r="E24" s="89">
        <v>1942.4444444444446</v>
      </c>
    </row>
    <row r="40" spans="1:5" x14ac:dyDescent="0.25">
      <c r="B40" s="107" t="s">
        <v>41</v>
      </c>
    </row>
    <row r="41" spans="1:5" x14ac:dyDescent="0.25">
      <c r="B41">
        <v>2021</v>
      </c>
      <c r="C41">
        <v>2022</v>
      </c>
      <c r="D41">
        <v>2023</v>
      </c>
      <c r="E41">
        <v>2024</v>
      </c>
    </row>
    <row r="42" spans="1:5" x14ac:dyDescent="0.25">
      <c r="A42" t="s">
        <v>44</v>
      </c>
      <c r="B42" s="109">
        <v>38.311867482647166</v>
      </c>
      <c r="C42" s="109">
        <v>37.125757575757582</v>
      </c>
      <c r="D42" s="109">
        <v>36.655367231638415</v>
      </c>
      <c r="E42" s="109">
        <v>29.430976430976433</v>
      </c>
    </row>
  </sheetData>
  <mergeCells count="1">
    <mergeCell ref="P4:Q4"/>
  </mergeCells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Q41"/>
  <sheetViews>
    <sheetView tabSelected="1" workbookViewId="0">
      <selection activeCell="C9" sqref="C9"/>
    </sheetView>
  </sheetViews>
  <sheetFormatPr defaultRowHeight="15" x14ac:dyDescent="0.25"/>
  <cols>
    <col min="1" max="1" width="22" customWidth="1"/>
    <col min="2" max="2" width="15.7109375" bestFit="1" customWidth="1"/>
    <col min="3" max="4" width="12.28515625" bestFit="1" customWidth="1"/>
    <col min="5" max="5" width="11.85546875" bestFit="1" customWidth="1"/>
    <col min="15" max="15" width="13.85546875" customWidth="1"/>
    <col min="16" max="16" width="16.42578125" customWidth="1"/>
  </cols>
  <sheetData>
    <row r="4" spans="1:17" x14ac:dyDescent="0.25">
      <c r="B4" s="107" t="s">
        <v>41</v>
      </c>
      <c r="O4" s="185" t="s">
        <v>55</v>
      </c>
      <c r="P4" s="185"/>
    </row>
    <row r="5" spans="1:17" x14ac:dyDescent="0.25">
      <c r="B5">
        <v>2022</v>
      </c>
      <c r="C5">
        <v>2023</v>
      </c>
      <c r="D5">
        <v>2024</v>
      </c>
      <c r="O5" s="43" t="s">
        <v>56</v>
      </c>
      <c r="P5" s="184">
        <f>GETPIVOTDATA("CO2 kg",$A$4,"Jahr ",2024)/GETPIVOTDATA("CO2 kg",$A$4,"Jahr ",2023)</f>
        <v>1.2240111242594378</v>
      </c>
      <c r="Q5" t="s">
        <v>59</v>
      </c>
    </row>
    <row r="6" spans="1:17" x14ac:dyDescent="0.25">
      <c r="A6" t="s">
        <v>45</v>
      </c>
      <c r="B6" s="110">
        <v>29814.819000000003</v>
      </c>
      <c r="C6" s="110">
        <v>49038.770000000004</v>
      </c>
      <c r="D6" s="110">
        <v>60024</v>
      </c>
      <c r="O6" s="43" t="s">
        <v>57</v>
      </c>
      <c r="P6" s="184">
        <f>GETPIVOTDATA("CO2 kg",$A$21,"Jahr ",2024)/GETPIVOTDATA("CO2 kg",$A$21,"Jahr ",2023)</f>
        <v>1.2240111242594378</v>
      </c>
      <c r="Q6" t="s">
        <v>59</v>
      </c>
    </row>
    <row r="7" spans="1:17" x14ac:dyDescent="0.25">
      <c r="O7" s="43" t="s">
        <v>58</v>
      </c>
      <c r="P7" s="182">
        <f>GETPIVOTDATA("CO2 kg 
Verbrauch/Kopf",$A$39,"Jahr ",2024)/GETPIVOTDATA("CO2 kg 
Verbrauch/Kopf",$A$39,"Jahr ",2023)</f>
        <v>1.0123512911130714</v>
      </c>
      <c r="Q7" t="s">
        <v>59</v>
      </c>
    </row>
    <row r="8" spans="1:17" x14ac:dyDescent="0.25">
      <c r="A8" s="43" t="s">
        <v>61</v>
      </c>
      <c r="B8" s="43">
        <f>GETPIVOTDATA("CO2 kg",$A$4,"Jahr ",2022)*3</f>
        <v>89444.457000000009</v>
      </c>
      <c r="C8" s="43">
        <f>GETPIVOTDATA("CO2 kg",$A$4,"Jahr ",2023)*3</f>
        <v>147116.31</v>
      </c>
      <c r="D8" s="43">
        <f>GETPIVOTDATA("CO2 kg",$A$4,"Jahr ",2024)*3</f>
        <v>180072</v>
      </c>
    </row>
    <row r="9" spans="1:17" x14ac:dyDescent="0.25">
      <c r="A9" s="43" t="s">
        <v>62</v>
      </c>
      <c r="B9" s="43"/>
      <c r="C9" s="43">
        <f>GETPIVOTDATA("CO2 kg",$A$4,"Jahr ",2023)*2</f>
        <v>98077.540000000008</v>
      </c>
      <c r="D9" s="43">
        <f>GETPIVOTDATA("CO2 kg",$A$4,"Jahr ",2024)*2</f>
        <v>120048</v>
      </c>
    </row>
    <row r="21" spans="1:4" x14ac:dyDescent="0.25">
      <c r="B21" s="107" t="s">
        <v>41</v>
      </c>
    </row>
    <row r="22" spans="1:4" x14ac:dyDescent="0.25">
      <c r="B22">
        <v>2022</v>
      </c>
      <c r="C22">
        <v>2023</v>
      </c>
      <c r="D22">
        <v>2024</v>
      </c>
    </row>
    <row r="23" spans="1:4" x14ac:dyDescent="0.25">
      <c r="A23" t="s">
        <v>46</v>
      </c>
      <c r="B23" s="110">
        <v>2484.5682500000003</v>
      </c>
      <c r="C23" s="110">
        <v>4086.564166666667</v>
      </c>
      <c r="D23" s="110">
        <v>5002</v>
      </c>
    </row>
    <row r="39" spans="1:4" x14ac:dyDescent="0.25">
      <c r="B39" s="107" t="s">
        <v>41</v>
      </c>
    </row>
    <row r="40" spans="1:4" x14ac:dyDescent="0.25">
      <c r="B40">
        <v>2022</v>
      </c>
      <c r="C40">
        <v>2023</v>
      </c>
      <c r="D40">
        <v>2024</v>
      </c>
    </row>
    <row r="41" spans="1:4" x14ac:dyDescent="0.25">
      <c r="A41" t="s">
        <v>47</v>
      </c>
      <c r="B41" s="89">
        <v>4.2855911950764645</v>
      </c>
      <c r="C41" s="89">
        <v>7.4849939961600791</v>
      </c>
      <c r="D41" s="89">
        <v>7.5774433359862448</v>
      </c>
    </row>
  </sheetData>
  <mergeCells count="1">
    <mergeCell ref="O4:P4"/>
  </mergeCells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2"/>
  <sheetViews>
    <sheetView topLeftCell="A4" workbookViewId="0">
      <selection activeCell="Q5" sqref="Q5"/>
    </sheetView>
  </sheetViews>
  <sheetFormatPr defaultRowHeight="15" x14ac:dyDescent="0.25"/>
  <cols>
    <col min="1" max="1" width="30.85546875" bestFit="1" customWidth="1"/>
    <col min="2" max="2" width="15.85546875" bestFit="1" customWidth="1"/>
    <col min="3" max="5" width="7.28515625" bestFit="1" customWidth="1"/>
    <col min="6" max="6" width="10.7109375" bestFit="1" customWidth="1"/>
    <col min="16" max="16" width="13.5703125" customWidth="1"/>
    <col min="17" max="17" width="18.85546875" customWidth="1"/>
  </cols>
  <sheetData>
    <row r="1" spans="1:18" x14ac:dyDescent="0.25">
      <c r="B1" s="107" t="s">
        <v>41</v>
      </c>
    </row>
    <row r="2" spans="1:18" x14ac:dyDescent="0.25">
      <c r="B2">
        <v>2021</v>
      </c>
      <c r="C2">
        <v>2022</v>
      </c>
      <c r="D2">
        <v>2023</v>
      </c>
      <c r="E2">
        <v>2024</v>
      </c>
      <c r="P2" s="185" t="s">
        <v>55</v>
      </c>
      <c r="Q2" s="185"/>
    </row>
    <row r="3" spans="1:18" x14ac:dyDescent="0.25">
      <c r="A3" t="s">
        <v>48</v>
      </c>
      <c r="B3" s="109">
        <v>121.73999999999998</v>
      </c>
      <c r="C3" s="109">
        <v>123.31000000000003</v>
      </c>
      <c r="D3" s="109">
        <v>138.75</v>
      </c>
      <c r="E3" s="109">
        <v>143.6</v>
      </c>
      <c r="P3" s="43" t="s">
        <v>56</v>
      </c>
      <c r="Q3" s="183">
        <f>GETPIVOTDATA("Wasser 
gesamt (Monat)",$A$1,"Jahr ",2024)/GETPIVOTDATA("Wasser 
gesamt (Monat)",$A$1,"Jahr ",2023)</f>
        <v>1.0349549549549548</v>
      </c>
      <c r="R3" t="s">
        <v>59</v>
      </c>
    </row>
    <row r="4" spans="1:18" x14ac:dyDescent="0.25">
      <c r="P4" s="43" t="s">
        <v>57</v>
      </c>
      <c r="Q4" s="183">
        <f>GETPIVOTDATA("Wasser 
gesamt (Monat)",$A$23,"Jahr ",2024)/GETPIVOTDATA("Wasser 
gesamt (Monat)",$A$23,"Jahr ",2023)</f>
        <v>1.034954954954955</v>
      </c>
      <c r="R4" t="s">
        <v>59</v>
      </c>
    </row>
    <row r="5" spans="1:18" x14ac:dyDescent="0.25">
      <c r="P5" s="43" t="s">
        <v>58</v>
      </c>
      <c r="Q5" s="182">
        <f>1-GETPIVOTDATA("Verbrauch/Kopf/Monat",$A$40,"Jahr ",2024)/GETPIVOTDATA("Verbrauch/Kopf/Monat",$A$40,"Jahr ",2023)</f>
        <v>7.481299481299486E-2</v>
      </c>
      <c r="R5" t="s">
        <v>60</v>
      </c>
    </row>
    <row r="23" spans="1:5" x14ac:dyDescent="0.25">
      <c r="B23" s="107" t="s">
        <v>41</v>
      </c>
    </row>
    <row r="24" spans="1:5" x14ac:dyDescent="0.25">
      <c r="B24">
        <v>2021</v>
      </c>
      <c r="C24">
        <v>2022</v>
      </c>
      <c r="D24">
        <v>2023</v>
      </c>
      <c r="E24">
        <v>2024</v>
      </c>
    </row>
    <row r="25" spans="1:5" x14ac:dyDescent="0.25">
      <c r="A25" t="s">
        <v>49</v>
      </c>
      <c r="B25" s="109">
        <v>10.144999999999998</v>
      </c>
      <c r="C25" s="109">
        <v>10.275833333333336</v>
      </c>
      <c r="D25" s="109">
        <v>11.5625</v>
      </c>
      <c r="E25" s="109">
        <v>11.966666666666667</v>
      </c>
    </row>
    <row r="40" spans="1:5" x14ac:dyDescent="0.25">
      <c r="B40" s="107" t="s">
        <v>41</v>
      </c>
    </row>
    <row r="41" spans="1:5" x14ac:dyDescent="0.25">
      <c r="B41">
        <v>2021</v>
      </c>
      <c r="C41">
        <v>2022</v>
      </c>
      <c r="D41">
        <v>2023</v>
      </c>
      <c r="E41">
        <v>2024</v>
      </c>
    </row>
    <row r="42" spans="1:5" x14ac:dyDescent="0.25">
      <c r="A42" t="s">
        <v>50</v>
      </c>
      <c r="B42" s="108">
        <v>0.19710909765273135</v>
      </c>
      <c r="C42" s="108">
        <v>0.18683333333333332</v>
      </c>
      <c r="D42" s="108">
        <v>0.19597457627118642</v>
      </c>
      <c r="E42" s="108">
        <v>0.18131313131313129</v>
      </c>
    </row>
  </sheetData>
  <mergeCells count="1">
    <mergeCell ref="P2:Q2"/>
  </mergeCells>
  <pageMargins left="0.7" right="0.7" top="0.75" bottom="0.75" header="0.3" footer="0.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093d4ce-2fe1-45a7-b522-11779e015a3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4F5D7A4A151D845A263C5B5440BC064" ma:contentTypeVersion="14" ma:contentTypeDescription="Ein neues Dokument erstellen." ma:contentTypeScope="" ma:versionID="6f22b2388742c34b5c034ac5a08e989b">
  <xsd:schema xmlns:xsd="http://www.w3.org/2001/XMLSchema" xmlns:xs="http://www.w3.org/2001/XMLSchema" xmlns:p="http://schemas.microsoft.com/office/2006/metadata/properties" xmlns:ns3="0b5032f5-7029-4624-93b2-b9b6dfba5602" xmlns:ns4="6093d4ce-2fe1-45a7-b522-11779e015a3f" targetNamespace="http://schemas.microsoft.com/office/2006/metadata/properties" ma:root="true" ma:fieldsID="f1a139b31cae55d39b1e122e10bcc533" ns3:_="" ns4:_="">
    <xsd:import namespace="0b5032f5-7029-4624-93b2-b9b6dfba5602"/>
    <xsd:import namespace="6093d4ce-2fe1-45a7-b522-11779e015a3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DateTaken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5032f5-7029-4624-93b2-b9b6dfba560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Freigabehinweis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93d4ce-2fe1-45a7-b522-11779e015a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A68563-E8D8-46F3-AD0E-9C5243CE26A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DFD0471-CFC0-4379-885F-B9B008D8D99E}">
  <ds:schemaRefs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2006/documentManagement/types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6093d4ce-2fe1-45a7-b522-11779e015a3f"/>
    <ds:schemaRef ds:uri="0b5032f5-7029-4624-93b2-b9b6dfba5602"/>
  </ds:schemaRefs>
</ds:datastoreItem>
</file>

<file path=customXml/itemProps3.xml><?xml version="1.0" encoding="utf-8"?>
<ds:datastoreItem xmlns:ds="http://schemas.openxmlformats.org/officeDocument/2006/customXml" ds:itemID="{239369C7-8BFB-4692-9307-908D0E11CD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5032f5-7029-4624-93b2-b9b6dfba5602"/>
    <ds:schemaRef ds:uri="6093d4ce-2fe1-45a7-b522-11779e015a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 Data</vt:lpstr>
      <vt:lpstr>Paper</vt:lpstr>
      <vt:lpstr>Strom</vt:lpstr>
      <vt:lpstr>CO2</vt:lpstr>
      <vt:lpstr>Water</vt:lpstr>
    </vt:vector>
  </TitlesOfParts>
  <Company>GOPA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Hollaender, Kai</dc:creator>
  <cp:lastModifiedBy>Hollaender, Kai</cp:lastModifiedBy>
  <dcterms:created xsi:type="dcterms:W3CDTF">2022-11-09T16:35:20Z</dcterms:created>
  <dcterms:modified xsi:type="dcterms:W3CDTF">2025-03-17T16:18:37Z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0x01010034F5D7A4A151D845A263C5B5440BC064</vt:lpwstr>
  </property>
</Properties>
</file>